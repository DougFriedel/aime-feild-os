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2535" yWindow="1500" windowWidth="23040" windowHeight="12645" tabRatio="600" firstSheet="0" activeTab="0" autoFilterDateGrouping="1"/>
  </bookViews>
  <sheets>
    <sheet xmlns:r="http://schemas.openxmlformats.org/officeDocument/2006/relationships" name="3-24-2026" sheetId="1" state="visible" r:id="rId1"/>
  </sheets>
  <definedNames>
    <definedName name="ListCol1">OFFSET(#REF!,0,0,COUNTA(#REF!),1)</definedName>
    <definedName name="ListCol2">OFFSET(#REF!,0,0,COUNTA(#REF!),1)</definedName>
    <definedName name="ListCol3">OFFSET(#REF!,0,0,COUNTA(#REF!),1)</definedName>
    <definedName name="_xlnm.Print_Area" localSheetId="0">'3-24-2026'!$B$1:$J$64</definedName>
  </definedNames>
  <calcPr calcId="191028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&quot;$&quot;#,##0.00"/>
  </numFmts>
  <fonts count="6">
    <font>
      <name val="Arial"/>
      <sz val="10"/>
    </font>
    <font>
      <name val="Arial"/>
      <family val="2"/>
      <b val="1"/>
      <sz val="14"/>
    </font>
    <font>
      <name val="Arial"/>
      <family val="2"/>
      <b val="1"/>
      <sz val="10"/>
    </font>
    <font>
      <name val="Arial"/>
      <family val="2"/>
      <sz val="10"/>
    </font>
    <font>
      <name val="Arial"/>
      <family val="2"/>
      <b val="1"/>
      <sz val="12"/>
    </font>
    <font>
      <name val="Arial"/>
      <family val="2"/>
      <sz val="12"/>
    </font>
  </fonts>
  <fills count="3">
    <fill>
      <patternFill/>
    </fill>
    <fill>
      <patternFill patternType="gray125"/>
    </fill>
    <fill>
      <patternFill patternType="solid">
        <fgColor indexed="26"/>
        <bgColor indexed="64"/>
      </patternFill>
    </fill>
  </fills>
  <borders count="89">
    <border>
      <left/>
      <right/>
      <top/>
      <bottom/>
      <diagonal/>
    </border>
    <border>
      <left/>
      <right/>
      <top/>
      <bottom style="thick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ck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/>
      <top/>
      <bottom/>
      <diagonal/>
    </border>
    <border>
      <left/>
      <right style="thick">
        <color indexed="64"/>
      </right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ck">
        <color indexed="64"/>
      </right>
      <top/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/>
      <top style="thick">
        <color indexed="64"/>
      </top>
      <bottom style="thick">
        <color indexed="64"/>
      </bottom>
      <diagonal/>
    </border>
    <border>
      <left/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/>
      <bottom style="medium">
        <color indexed="64"/>
      </bottom>
      <diagonal/>
    </border>
    <border>
      <left style="thick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indexed="64"/>
      </right>
      <top style="medium">
        <color indexed="64"/>
      </top>
      <bottom/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 style="thick">
        <color indexed="64"/>
      </right>
      <top/>
      <bottom style="medium">
        <color indexed="64"/>
      </bottom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/>
      <right/>
      <top style="thick">
        <color indexed="64"/>
      </top>
      <bottom/>
      <diagonal/>
    </border>
    <border>
      <left/>
      <right style="thin">
        <color indexed="64"/>
      </right>
      <top style="thick">
        <color indexed="64"/>
      </top>
      <bottom/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ck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ck"/>
      <right style="thin"/>
      <top style="thick"/>
      <bottom style="thin"/>
    </border>
    <border>
      <left style="thin"/>
      <right style="thin"/>
      <top style="thick"/>
      <bottom style="thin"/>
    </border>
    <border>
      <left style="thin"/>
      <right style="thick"/>
      <top style="thick"/>
      <bottom style="thin"/>
    </border>
    <border>
      <left style="thick"/>
      <right style="thin"/>
      <top style="thin"/>
      <bottom style="thick"/>
    </border>
    <border>
      <left style="thin"/>
      <right style="thin"/>
      <top style="thin"/>
      <bottom style="thick"/>
    </border>
    <border>
      <left style="thin"/>
      <right style="thick"/>
      <top style="thin"/>
      <bottom style="thick"/>
    </border>
    <border>
      <left style="thick"/>
      <right style="thin"/>
      <top style="thick"/>
      <bottom style="thick"/>
    </border>
    <border>
      <left style="thin"/>
      <right style="thin"/>
      <top style="thick"/>
      <bottom style="thick"/>
    </border>
    <border>
      <left style="thin"/>
      <right style="thick"/>
      <top style="thick"/>
      <bottom style="thick"/>
    </border>
    <border>
      <left style="thick"/>
      <righ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ck"/>
      <top style="thin"/>
      <bottom style="thin"/>
    </border>
    <border>
      <left style="thick"/>
      <right style="thick"/>
      <top style="thick"/>
      <bottom style="thick"/>
    </border>
  </borders>
  <cellStyleXfs count="1">
    <xf numFmtId="0" fontId="0" fillId="0" borderId="0"/>
  </cellStyleXfs>
  <cellXfs count="211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0" fillId="0" borderId="9" pivotButton="0" quotePrefix="0" xfId="0"/>
    <xf numFmtId="0" fontId="0" fillId="0" borderId="10" applyAlignment="1" pivotButton="0" quotePrefix="0" xfId="0">
      <alignment horizontal="right"/>
    </xf>
    <xf numFmtId="0" fontId="0" fillId="0" borderId="12" pivotButton="0" quotePrefix="0" xfId="0"/>
    <xf numFmtId="0" fontId="0" fillId="0" borderId="13" pivotButton="0" quotePrefix="0" xfId="0"/>
    <xf numFmtId="0" fontId="2" fillId="0" borderId="17" applyAlignment="1" pivotButton="0" quotePrefix="0" xfId="0">
      <alignment horizontal="center"/>
    </xf>
    <xf numFmtId="0" fontId="0" fillId="2" borderId="2" applyAlignment="1" applyProtection="1" pivotButton="0" quotePrefix="0" xfId="0">
      <alignment horizontal="center"/>
      <protection locked="0" hidden="0"/>
    </xf>
    <xf numFmtId="164" fontId="0" fillId="2" borderId="19" applyAlignment="1" applyProtection="1" pivotButton="0" quotePrefix="0" xfId="0">
      <alignment horizontal="center"/>
      <protection locked="0" hidden="0"/>
    </xf>
    <xf numFmtId="165" fontId="0" fillId="0" borderId="19" applyAlignment="1" pivotButton="0" quotePrefix="0" xfId="0">
      <alignment horizontal="center"/>
    </xf>
    <xf numFmtId="165" fontId="0" fillId="0" borderId="20" applyAlignment="1" pivotButton="0" quotePrefix="0" xfId="0">
      <alignment horizontal="center"/>
    </xf>
    <xf numFmtId="0" fontId="0" fillId="2" borderId="23" applyAlignment="1" applyProtection="1" pivotButton="0" quotePrefix="0" xfId="0">
      <alignment horizontal="center"/>
      <protection locked="0" hidden="0"/>
    </xf>
    <xf numFmtId="164" fontId="0" fillId="2" borderId="25" applyProtection="1" pivotButton="0" quotePrefix="0" xfId="0">
      <protection locked="0" hidden="0"/>
    </xf>
    <xf numFmtId="165" fontId="0" fillId="0" borderId="27" applyAlignment="1" pivotButton="0" quotePrefix="0" xfId="0">
      <alignment horizontal="center"/>
    </xf>
    <xf numFmtId="0" fontId="0" fillId="0" borderId="28" pivotButton="0" quotePrefix="0" xfId="0"/>
    <xf numFmtId="0" fontId="0" fillId="0" borderId="29" pivotButton="0" quotePrefix="0" xfId="0"/>
    <xf numFmtId="0" fontId="0" fillId="0" borderId="10" pivotButton="0" quotePrefix="0" xfId="0"/>
    <xf numFmtId="0" fontId="2" fillId="0" borderId="29" applyAlignment="1" pivotButton="0" quotePrefix="0" xfId="0">
      <alignment horizontal="right"/>
    </xf>
    <xf numFmtId="165" fontId="1" fillId="0" borderId="30" applyAlignment="1" pivotButton="0" quotePrefix="0" xfId="0">
      <alignment horizontal="center" vertical="center"/>
    </xf>
    <xf numFmtId="0" fontId="2" fillId="0" borderId="14" applyAlignment="1" pivotButton="0" quotePrefix="0" xfId="0">
      <alignment horizontal="center"/>
    </xf>
    <xf numFmtId="0" fontId="2" fillId="0" borderId="30" applyAlignment="1" pivotButton="0" quotePrefix="0" xfId="0">
      <alignment horizontal="center"/>
    </xf>
    <xf numFmtId="0" fontId="0" fillId="0" borderId="19" applyAlignment="1" pivotButton="0" quotePrefix="0" xfId="0">
      <alignment horizontal="center"/>
    </xf>
    <xf numFmtId="0" fontId="0" fillId="0" borderId="32" applyAlignment="1" pivotButton="0" quotePrefix="0" xfId="0">
      <alignment horizontal="center"/>
    </xf>
    <xf numFmtId="165" fontId="0" fillId="0" borderId="32" applyAlignment="1" pivotButton="0" quotePrefix="0" xfId="0">
      <alignment horizontal="center"/>
    </xf>
    <xf numFmtId="0" fontId="0" fillId="2" borderId="33" applyAlignment="1" applyProtection="1" pivotButton="0" quotePrefix="0" xfId="0">
      <alignment horizontal="center"/>
      <protection locked="0" hidden="0"/>
    </xf>
    <xf numFmtId="0" fontId="0" fillId="0" borderId="6" applyAlignment="1" pivotButton="0" quotePrefix="0" xfId="0">
      <alignment horizontal="center"/>
    </xf>
    <xf numFmtId="165" fontId="0" fillId="0" borderId="6" applyAlignment="1" pivotButton="0" quotePrefix="0" xfId="0">
      <alignment horizontal="center"/>
    </xf>
    <xf numFmtId="0" fontId="2" fillId="0" borderId="11" applyAlignment="1" pivotButton="0" quotePrefix="0" xfId="0">
      <alignment horizontal="right"/>
    </xf>
    <xf numFmtId="0" fontId="0" fillId="0" borderId="11" pivotButton="0" quotePrefix="0" xfId="0"/>
    <xf numFmtId="0" fontId="4" fillId="0" borderId="10" pivotButton="0" quotePrefix="0" xfId="0"/>
    <xf numFmtId="0" fontId="4" fillId="0" borderId="0" pivotButton="0" quotePrefix="0" xfId="0"/>
    <xf numFmtId="0" fontId="2" fillId="0" borderId="34" applyAlignment="1" pivotButton="0" quotePrefix="0" xfId="0">
      <alignment horizontal="center"/>
    </xf>
    <xf numFmtId="0" fontId="2" fillId="0" borderId="37" applyAlignment="1" pivotButton="0" quotePrefix="0" xfId="0">
      <alignment horizontal="center"/>
    </xf>
    <xf numFmtId="0" fontId="2" fillId="0" borderId="36" applyAlignment="1" pivotButton="0" quotePrefix="0" xfId="0">
      <alignment horizontal="center" wrapText="1"/>
    </xf>
    <xf numFmtId="0" fontId="2" fillId="0" borderId="37" applyAlignment="1" pivotButton="0" quotePrefix="0" xfId="0">
      <alignment horizontal="center" wrapText="1"/>
    </xf>
    <xf numFmtId="164" fontId="0" fillId="2" borderId="38" applyAlignment="1" applyProtection="1" pivotButton="0" quotePrefix="0" xfId="0">
      <alignment horizontal="center"/>
      <protection locked="0" hidden="0"/>
    </xf>
    <xf numFmtId="165" fontId="0" fillId="2" borderId="4" applyAlignment="1" applyProtection="1" pivotButton="0" quotePrefix="0" xfId="0">
      <alignment horizontal="center"/>
      <protection locked="0" hidden="0"/>
    </xf>
    <xf numFmtId="164" fontId="0" fillId="2" borderId="40" applyAlignment="1" applyProtection="1" pivotButton="0" quotePrefix="0" xfId="0">
      <alignment horizontal="center"/>
      <protection locked="0" hidden="0"/>
    </xf>
    <xf numFmtId="165" fontId="0" fillId="2" borderId="20" applyAlignment="1" applyProtection="1" pivotButton="0" quotePrefix="0" xfId="0">
      <alignment horizontal="center"/>
      <protection locked="0" hidden="0"/>
    </xf>
    <xf numFmtId="165" fontId="0" fillId="2" borderId="43" applyAlignment="1" applyProtection="1" pivotButton="0" quotePrefix="0" xfId="0">
      <alignment horizontal="center"/>
      <protection locked="0" hidden="0"/>
    </xf>
    <xf numFmtId="165" fontId="0" fillId="0" borderId="0" pivotButton="0" quotePrefix="0" xfId="0"/>
    <xf numFmtId="165" fontId="0" fillId="2" borderId="46" applyAlignment="1" applyProtection="1" pivotButton="0" quotePrefix="0" xfId="0">
      <alignment horizontal="center"/>
      <protection locked="0" hidden="0"/>
    </xf>
    <xf numFmtId="165" fontId="0" fillId="2" borderId="49" applyAlignment="1" applyProtection="1" pivotButton="0" quotePrefix="0" xfId="0">
      <alignment horizontal="center"/>
      <protection locked="0" hidden="0"/>
    </xf>
    <xf numFmtId="0" fontId="2" fillId="0" borderId="10" applyAlignment="1" pivotButton="0" quotePrefix="0" xfId="0">
      <alignment horizontal="right"/>
    </xf>
    <xf numFmtId="0" fontId="1" fillId="0" borderId="10" applyAlignment="1" pivotButton="0" quotePrefix="0" xfId="0">
      <alignment horizontal="right"/>
    </xf>
    <xf numFmtId="0" fontId="0" fillId="0" borderId="52" applyAlignment="1" pivotButton="0" quotePrefix="0" xfId="0">
      <alignment horizontal="center"/>
    </xf>
    <xf numFmtId="0" fontId="0" fillId="0" borderId="55" applyAlignment="1" pivotButton="0" quotePrefix="0" xfId="0">
      <alignment horizontal="center"/>
    </xf>
    <xf numFmtId="14" fontId="0" fillId="2" borderId="27" applyAlignment="1" applyProtection="1" pivotButton="0" quotePrefix="0" xfId="0">
      <alignment horizontal="center" wrapText="1"/>
      <protection locked="0" hidden="0"/>
    </xf>
    <xf numFmtId="0" fontId="0" fillId="2" borderId="27" applyAlignment="1" applyProtection="1" pivotButton="0" quotePrefix="0" xfId="0">
      <alignment horizontal="center" wrapText="1"/>
      <protection locked="0" hidden="0"/>
    </xf>
    <xf numFmtId="0" fontId="0" fillId="2" borderId="56" applyAlignment="1" applyProtection="1" pivotButton="0" quotePrefix="0" xfId="0">
      <alignment horizontal="center" wrapText="1"/>
      <protection locked="0" hidden="0"/>
    </xf>
    <xf numFmtId="0" fontId="0" fillId="2" borderId="24" applyAlignment="1" applyProtection="1" pivotButton="0" quotePrefix="0" xfId="0">
      <alignment horizontal="center" wrapText="1"/>
      <protection locked="0" hidden="0"/>
    </xf>
    <xf numFmtId="0" fontId="0" fillId="2" borderId="25" applyAlignment="1" applyProtection="1" pivotButton="0" quotePrefix="0" xfId="0">
      <alignment horizontal="center" wrapText="1"/>
      <protection locked="0" hidden="0"/>
    </xf>
    <xf numFmtId="0" fontId="0" fillId="2" borderId="26" applyAlignment="1" applyProtection="1" pivotButton="0" quotePrefix="0" xfId="0">
      <alignment horizontal="center" wrapText="1"/>
      <protection locked="0" hidden="0"/>
    </xf>
    <xf numFmtId="14" fontId="0" fillId="2" borderId="26" applyAlignment="1" applyProtection="1" pivotButton="0" quotePrefix="0" xfId="0">
      <alignment horizontal="center" wrapText="1"/>
      <protection locked="0" hidden="0"/>
    </xf>
    <xf numFmtId="0" fontId="0" fillId="2" borderId="23" applyAlignment="1" applyProtection="1" pivotButton="0" quotePrefix="0" xfId="0">
      <alignment horizontal="center"/>
      <protection locked="0" hidden="0"/>
    </xf>
    <xf numFmtId="0" fontId="0" fillId="2" borderId="41" applyAlignment="1" applyProtection="1" pivotButton="0" quotePrefix="0" xfId="0">
      <alignment horizontal="center"/>
      <protection locked="0" hidden="0"/>
    </xf>
    <xf numFmtId="0" fontId="0" fillId="2" borderId="22" applyAlignment="1" applyProtection="1" pivotButton="0" quotePrefix="0" xfId="0">
      <alignment horizontal="center"/>
      <protection locked="0" hidden="0"/>
    </xf>
    <xf numFmtId="0" fontId="3" fillId="2" borderId="23" applyAlignment="1" applyProtection="1" pivotButton="0" quotePrefix="0" xfId="0">
      <alignment horizontal="center"/>
      <protection locked="0" hidden="0"/>
    </xf>
    <xf numFmtId="0" fontId="0" fillId="2" borderId="7" applyAlignment="1" applyProtection="1" pivotButton="0" quotePrefix="0" xfId="0">
      <alignment horizontal="center"/>
      <protection locked="0" hidden="0"/>
    </xf>
    <xf numFmtId="0" fontId="0" fillId="2" borderId="42" applyAlignment="1" applyProtection="1" pivotButton="0" quotePrefix="0" xfId="0">
      <alignment horizontal="center"/>
      <protection locked="0" hidden="0"/>
    </xf>
    <xf numFmtId="0" fontId="0" fillId="2" borderId="8" applyAlignment="1" applyProtection="1" pivotButton="0" quotePrefix="0" xfId="0">
      <alignment horizontal="center"/>
      <protection locked="0" hidden="0"/>
    </xf>
    <xf numFmtId="0" fontId="3" fillId="0" borderId="53" applyAlignment="1" pivotButton="0" quotePrefix="0" xfId="0">
      <alignment horizontal="center"/>
    </xf>
    <xf numFmtId="0" fontId="0" fillId="0" borderId="54" applyAlignment="1" pivotButton="0" quotePrefix="0" xfId="0">
      <alignment horizontal="center"/>
    </xf>
    <xf numFmtId="9" fontId="0" fillId="2" borderId="7" applyAlignment="1" applyProtection="1" pivotButton="0" quotePrefix="0" xfId="0">
      <alignment horizontal="center"/>
      <protection locked="0" hidden="0"/>
    </xf>
    <xf numFmtId="0" fontId="3" fillId="2" borderId="7" applyAlignment="1" applyProtection="1" pivotButton="0" quotePrefix="0" xfId="0">
      <alignment horizontal="center"/>
      <protection locked="0" hidden="0"/>
    </xf>
    <xf numFmtId="0" fontId="3" fillId="2" borderId="44" applyAlignment="1" applyProtection="1" pivotButton="0" quotePrefix="0" xfId="0">
      <alignment horizontal="center"/>
      <protection locked="0" hidden="0"/>
    </xf>
    <xf numFmtId="0" fontId="0" fillId="2" borderId="45" applyAlignment="1" applyProtection="1" pivotButton="0" quotePrefix="0" xfId="0">
      <alignment horizontal="center"/>
      <protection locked="0" hidden="0"/>
    </xf>
    <xf numFmtId="0" fontId="0" fillId="2" borderId="40" applyAlignment="1" applyProtection="1" pivotButton="0" quotePrefix="0" xfId="0">
      <alignment horizontal="center"/>
      <protection locked="0" hidden="0"/>
    </xf>
    <xf numFmtId="0" fontId="3" fillId="2" borderId="47" applyAlignment="1" applyProtection="1" pivotButton="0" quotePrefix="0" xfId="0">
      <alignment horizontal="center"/>
      <protection locked="0" hidden="0"/>
    </xf>
    <xf numFmtId="0" fontId="3" fillId="2" borderId="48" applyAlignment="1" applyProtection="1" pivotButton="0" quotePrefix="0" xfId="0">
      <alignment horizontal="center"/>
      <protection locked="0" hidden="0"/>
    </xf>
    <xf numFmtId="9" fontId="0" fillId="2" borderId="23" applyAlignment="1" applyProtection="1" pivotButton="0" quotePrefix="0" xfId="0">
      <alignment horizontal="center"/>
      <protection locked="0" hidden="0"/>
    </xf>
    <xf numFmtId="0" fontId="3" fillId="2" borderId="40" applyAlignment="1" applyProtection="1" pivotButton="0" quotePrefix="0" xfId="0">
      <alignment horizontal="center"/>
      <protection locked="0" hidden="0"/>
    </xf>
    <xf numFmtId="16" fontId="3" fillId="2" borderId="44" applyAlignment="1" applyProtection="1" pivotButton="0" quotePrefix="0" xfId="0">
      <alignment horizontal="center"/>
      <protection locked="0" hidden="0"/>
    </xf>
    <xf numFmtId="9" fontId="3" fillId="2" borderId="23" applyAlignment="1" applyProtection="1" pivotButton="0" quotePrefix="0" xfId="0">
      <alignment horizontal="center"/>
      <protection locked="0" hidden="0"/>
    </xf>
    <xf numFmtId="0" fontId="3" fillId="2" borderId="22" applyAlignment="1" applyProtection="1" pivotButton="0" quotePrefix="0" xfId="0">
      <alignment horizontal="center"/>
      <protection locked="0" hidden="0"/>
    </xf>
    <xf numFmtId="9" fontId="0" fillId="2" borderId="8" applyAlignment="1" applyProtection="1" pivotButton="0" quotePrefix="0" xfId="0">
      <alignment horizontal="center"/>
      <protection locked="0" hidden="0"/>
    </xf>
    <xf numFmtId="0" fontId="3" fillId="2" borderId="2" applyAlignment="1" applyProtection="1" pivotButton="0" quotePrefix="0" xfId="0">
      <alignment horizontal="center"/>
      <protection locked="0" hidden="0"/>
    </xf>
    <xf numFmtId="0" fontId="0" fillId="2" borderId="39" applyAlignment="1" applyProtection="1" pivotButton="0" quotePrefix="0" xfId="0">
      <alignment horizontal="center"/>
      <protection locked="0" hidden="0"/>
    </xf>
    <xf numFmtId="0" fontId="0" fillId="2" borderId="3" applyAlignment="1" applyProtection="1" pivotButton="0" quotePrefix="0" xfId="0">
      <alignment horizontal="center"/>
      <protection locked="0" hidden="0"/>
    </xf>
    <xf numFmtId="0" fontId="3" fillId="2" borderId="3" applyAlignment="1" applyProtection="1" pivotButton="0" quotePrefix="0" xfId="0">
      <alignment horizontal="center"/>
      <protection locked="0" hidden="0"/>
    </xf>
    <xf numFmtId="0" fontId="0" fillId="2" borderId="21" applyAlignment="1" applyProtection="1" pivotButton="0" quotePrefix="0" xfId="0">
      <alignment horizontal="center"/>
      <protection locked="0" hidden="0"/>
    </xf>
    <xf numFmtId="0" fontId="0" fillId="2" borderId="31" applyAlignment="1" applyProtection="1" pivotButton="0" quotePrefix="0" xfId="0">
      <alignment horizontal="center"/>
      <protection locked="0" hidden="0"/>
    </xf>
    <xf numFmtId="0" fontId="0" fillId="2" borderId="32" applyAlignment="1" applyProtection="1" pivotButton="0" quotePrefix="0" xfId="0">
      <alignment horizontal="center"/>
      <protection locked="0" hidden="0"/>
    </xf>
    <xf numFmtId="0" fontId="0" fillId="2" borderId="5" applyAlignment="1" applyProtection="1" pivotButton="0" quotePrefix="0" xfId="0">
      <alignment horizontal="center"/>
      <protection locked="0" hidden="0"/>
    </xf>
    <xf numFmtId="0" fontId="0" fillId="2" borderId="6" applyAlignment="1" applyProtection="1" pivotButton="0" quotePrefix="0" xfId="0">
      <alignment horizontal="center"/>
      <protection locked="0" hidden="0"/>
    </xf>
    <xf numFmtId="0" fontId="2" fillId="0" borderId="35" applyAlignment="1" pivotButton="0" quotePrefix="0" xfId="0">
      <alignment horizontal="center"/>
    </xf>
    <xf numFmtId="0" fontId="2" fillId="0" borderId="15" applyAlignment="1" pivotButton="0" quotePrefix="0" xfId="0">
      <alignment horizontal="center"/>
    </xf>
    <xf numFmtId="0" fontId="2" fillId="0" borderId="36" applyAlignment="1" pivotButton="0" quotePrefix="0" xfId="0">
      <alignment horizontal="center"/>
    </xf>
    <xf numFmtId="0" fontId="2" fillId="0" borderId="35" applyAlignment="1" pivotButton="0" quotePrefix="0" xfId="0">
      <alignment horizontal="center" wrapText="1"/>
    </xf>
    <xf numFmtId="0" fontId="2" fillId="0" borderId="36" applyAlignment="1" pivotButton="0" quotePrefix="0" xfId="0">
      <alignment horizontal="center" wrapText="1"/>
    </xf>
    <xf numFmtId="0" fontId="0" fillId="2" borderId="24" applyAlignment="1" applyProtection="1" pivotButton="0" quotePrefix="0" xfId="0">
      <alignment horizontal="center"/>
      <protection locked="0" hidden="0"/>
    </xf>
    <xf numFmtId="0" fontId="0" fillId="2" borderId="25" applyAlignment="1" applyProtection="1" pivotButton="0" quotePrefix="0" xfId="0">
      <alignment horizontal="center"/>
      <protection locked="0" hidden="0"/>
    </xf>
    <xf numFmtId="0" fontId="0" fillId="2" borderId="26" applyProtection="1" pivotButton="0" quotePrefix="0" xfId="0">
      <protection locked="0" hidden="0"/>
    </xf>
    <xf numFmtId="0" fontId="0" fillId="2" borderId="25" applyProtection="1" pivotButton="0" quotePrefix="0" xfId="0">
      <protection locked="0" hidden="0"/>
    </xf>
    <xf numFmtId="0" fontId="4" fillId="0" borderId="14" applyAlignment="1" pivotButton="0" quotePrefix="0" xfId="0">
      <alignment horizontal="center"/>
    </xf>
    <xf numFmtId="0" fontId="4" fillId="0" borderId="15" applyAlignment="1" pivotButton="0" quotePrefix="0" xfId="0">
      <alignment horizontal="center"/>
    </xf>
    <xf numFmtId="0" fontId="4" fillId="0" borderId="16" applyAlignment="1" pivotButton="0" quotePrefix="0" xfId="0">
      <alignment horizontal="center"/>
    </xf>
    <xf numFmtId="0" fontId="2" fillId="0" borderId="14" applyAlignment="1" pivotButton="0" quotePrefix="0" xfId="0">
      <alignment horizontal="center"/>
    </xf>
    <xf numFmtId="0" fontId="2" fillId="0" borderId="16" applyAlignment="1" pivotButton="0" quotePrefix="0" xfId="0">
      <alignment horizontal="center"/>
    </xf>
    <xf numFmtId="0" fontId="0" fillId="2" borderId="18" applyAlignment="1" applyProtection="1" pivotButton="0" quotePrefix="0" xfId="0">
      <alignment horizontal="center"/>
      <protection locked="0" hidden="0"/>
    </xf>
    <xf numFmtId="0" fontId="0" fillId="2" borderId="2" applyAlignment="1" applyProtection="1" pivotButton="0" quotePrefix="0" xfId="0">
      <alignment horizontal="center"/>
      <protection locked="0" hidden="0"/>
    </xf>
    <xf numFmtId="0" fontId="1" fillId="0" borderId="0" applyAlignment="1" pivotButton="0" quotePrefix="0" xfId="0">
      <alignment horizontal="center"/>
    </xf>
    <xf numFmtId="0" fontId="2" fillId="0" borderId="17" applyAlignment="1" pivotButton="0" quotePrefix="0" xfId="0">
      <alignment horizontal="center"/>
    </xf>
    <xf numFmtId="0" fontId="2" fillId="0" borderId="29" applyAlignment="1" pivotButton="0" quotePrefix="0" xfId="0">
      <alignment wrapText="1"/>
    </xf>
    <xf numFmtId="0" fontId="2" fillId="0" borderId="57" applyAlignment="1" pivotButton="0" quotePrefix="0" xfId="0">
      <alignment wrapText="1"/>
    </xf>
    <xf numFmtId="0" fontId="1" fillId="0" borderId="0" applyAlignment="1" pivotButton="0" quotePrefix="0" xfId="0">
      <alignment horizontal="center"/>
    </xf>
    <xf numFmtId="0" fontId="2" fillId="0" borderId="23" applyAlignment="1" pivotButton="0" quotePrefix="0" xfId="0">
      <alignment horizontal="center" wrapText="1"/>
    </xf>
    <xf numFmtId="0" fontId="2" fillId="0" borderId="22" applyAlignment="1" pivotButton="0" quotePrefix="0" xfId="0">
      <alignment horizontal="center" wrapText="1"/>
    </xf>
    <xf numFmtId="0" fontId="4" fillId="0" borderId="23" applyAlignment="1" pivotButton="0" quotePrefix="0" xfId="0">
      <alignment horizontal="center" wrapText="1"/>
    </xf>
    <xf numFmtId="0" fontId="2" fillId="0" borderId="32" applyAlignment="1" pivotButton="0" quotePrefix="0" xfId="0">
      <alignment wrapText="1"/>
    </xf>
    <xf numFmtId="0" fontId="2" fillId="0" borderId="6" applyAlignment="1" pivotButton="0" quotePrefix="0" xfId="0">
      <alignment horizontal="center" wrapText="1"/>
    </xf>
    <xf numFmtId="0" fontId="4" fillId="0" borderId="32" applyAlignment="1" pivotButton="0" quotePrefix="0" xfId="0">
      <alignment horizontal="center" wrapText="1"/>
    </xf>
    <xf numFmtId="0" fontId="3" fillId="0" borderId="50" applyAlignment="1" pivotButton="0" quotePrefix="0" xfId="0">
      <alignment horizontal="center" vertical="center" wrapText="1"/>
    </xf>
    <xf numFmtId="0" fontId="0" fillId="0" borderId="51" applyAlignment="1" pivotButton="0" quotePrefix="0" xfId="0">
      <alignment horizontal="center" vertical="center" wrapText="1"/>
    </xf>
    <xf numFmtId="0" fontId="0" fillId="0" borderId="52" applyAlignment="1" pivotButton="0" quotePrefix="0" xfId="0">
      <alignment horizontal="center" vertical="center"/>
    </xf>
    <xf numFmtId="0" fontId="0" fillId="0" borderId="53" applyAlignment="1" pivotButton="0" quotePrefix="0" xfId="0">
      <alignment horizontal="center" vertical="center" wrapText="1"/>
    </xf>
    <xf numFmtId="0" fontId="0" fillId="0" borderId="54" applyAlignment="1" pivotButton="0" quotePrefix="0" xfId="0">
      <alignment horizontal="center" vertical="center" wrapText="1"/>
    </xf>
    <xf numFmtId="0" fontId="0" fillId="0" borderId="32" applyProtection="1" pivotButton="0" quotePrefix="0" xfId="0">
      <protection locked="0" hidden="0"/>
    </xf>
    <xf numFmtId="14" fontId="0" fillId="0" borderId="11" applyAlignment="1" applyProtection="1" pivotButton="0" quotePrefix="0" xfId="0">
      <alignment horizontal="center"/>
      <protection locked="0" hidden="0"/>
    </xf>
    <xf numFmtId="0" fontId="0" fillId="0" borderId="32" applyAlignment="1" applyProtection="1" pivotButton="0" quotePrefix="0" xfId="0">
      <alignment horizontal="center"/>
      <protection locked="0" hidden="0"/>
    </xf>
    <xf numFmtId="0" fontId="0" fillId="0" borderId="23" applyAlignment="1" applyProtection="1" pivotButton="0" quotePrefix="0" xfId="0">
      <alignment horizontal="center"/>
      <protection locked="0" hidden="0"/>
    </xf>
    <xf numFmtId="0" fontId="0" fillId="0" borderId="22" applyAlignment="1" applyProtection="1" pivotButton="0" quotePrefix="0" xfId="0">
      <alignment horizontal="center"/>
      <protection locked="0" hidden="0"/>
    </xf>
    <xf numFmtId="0" fontId="5" fillId="0" borderId="32" applyAlignment="1" pivotButton="0" quotePrefix="0" xfId="0">
      <alignment horizontal="center"/>
    </xf>
    <xf numFmtId="0" fontId="5" fillId="0" borderId="32" pivotButton="0" quotePrefix="0" xfId="0"/>
    <xf numFmtId="0" fontId="4" fillId="0" borderId="32" applyAlignment="1" pivotButton="0" quotePrefix="0" xfId="0">
      <alignment horizontal="center" wrapText="1"/>
    </xf>
    <xf numFmtId="0" fontId="3" fillId="2" borderId="58" applyAlignment="1" applyProtection="1" pivotButton="0" quotePrefix="0" xfId="0">
      <alignment horizontal="center" wrapText="1"/>
      <protection locked="0" hidden="0"/>
    </xf>
    <xf numFmtId="0" fontId="3" fillId="2" borderId="1" applyAlignment="1" applyProtection="1" pivotButton="0" quotePrefix="0" xfId="0">
      <alignment horizontal="center" wrapText="1"/>
      <protection locked="0" hidden="0"/>
    </xf>
    <xf numFmtId="0" fontId="3" fillId="2" borderId="59" applyAlignment="1" applyProtection="1" pivotButton="0" quotePrefix="0" xfId="0">
      <alignment horizontal="center" wrapText="1"/>
      <protection locked="0" hidden="0"/>
    </xf>
    <xf numFmtId="0" fontId="2" fillId="0" borderId="41" applyAlignment="1" pivotButton="0" quotePrefix="0" xfId="0">
      <alignment horizontal="center" wrapText="1"/>
    </xf>
    <xf numFmtId="0" fontId="1" fillId="0" borderId="76" applyAlignment="1" pivotButton="0" quotePrefix="0" xfId="0">
      <alignment horizontal="center"/>
    </xf>
    <xf numFmtId="0" fontId="0" fillId="0" borderId="77" pivotButton="0" quotePrefix="0" xfId="0"/>
    <xf numFmtId="0" fontId="0" fillId="0" borderId="78" pivotButton="0" quotePrefix="0" xfId="0"/>
    <xf numFmtId="0" fontId="1" fillId="0" borderId="79" applyAlignment="1" pivotButton="0" quotePrefix="0" xfId="0">
      <alignment horizontal="center"/>
    </xf>
    <xf numFmtId="0" fontId="0" fillId="0" borderId="80" pivotButton="0" quotePrefix="0" xfId="0"/>
    <xf numFmtId="0" fontId="0" fillId="0" borderId="81" pivotButton="0" quotePrefix="0" xfId="0"/>
    <xf numFmtId="0" fontId="4" fillId="0" borderId="82" applyAlignment="1" pivotButton="0" quotePrefix="0" xfId="0">
      <alignment horizontal="center" wrapText="1"/>
    </xf>
    <xf numFmtId="0" fontId="0" fillId="0" borderId="83" pivotButton="0" quotePrefix="0" xfId="0"/>
    <xf numFmtId="0" fontId="2" fillId="0" borderId="83" applyAlignment="1" pivotButton="0" quotePrefix="0" xfId="0">
      <alignment horizontal="center" wrapText="1"/>
    </xf>
    <xf numFmtId="0" fontId="4" fillId="0" borderId="83" applyAlignment="1" pivotButton="0" quotePrefix="0" xfId="0">
      <alignment horizontal="center" wrapText="1"/>
    </xf>
    <xf numFmtId="0" fontId="2" fillId="0" borderId="83" applyAlignment="1" pivotButton="0" quotePrefix="0" xfId="0">
      <alignment wrapText="1"/>
    </xf>
    <xf numFmtId="0" fontId="2" fillId="0" borderId="84" applyAlignment="1" pivotButton="0" quotePrefix="0" xfId="0">
      <alignment wrapText="1"/>
    </xf>
    <xf numFmtId="0" fontId="5" fillId="0" borderId="82" pivotButton="0" quotePrefix="0" xfId="0"/>
    <xf numFmtId="0" fontId="0" fillId="0" borderId="83" applyProtection="1" pivotButton="0" quotePrefix="0" xfId="0">
      <protection locked="0" hidden="0"/>
    </xf>
    <xf numFmtId="0" fontId="5" fillId="0" borderId="83" applyAlignment="1" pivotButton="0" quotePrefix="0" xfId="0">
      <alignment horizontal="center"/>
    </xf>
    <xf numFmtId="0" fontId="0" fillId="0" borderId="83" applyAlignment="1" applyProtection="1" pivotButton="0" quotePrefix="0" xfId="0">
      <alignment horizontal="center"/>
      <protection locked="0" hidden="0"/>
    </xf>
    <xf numFmtId="0" fontId="0" fillId="0" borderId="83" applyAlignment="1" pivotButton="0" quotePrefix="0" xfId="0">
      <alignment horizontal="right"/>
    </xf>
    <xf numFmtId="14" fontId="0" fillId="0" borderId="84" applyAlignment="1" applyProtection="1" pivotButton="0" quotePrefix="0" xfId="0">
      <alignment horizontal="center"/>
      <protection locked="0" hidden="0"/>
    </xf>
    <xf numFmtId="0" fontId="0" fillId="0" borderId="82" pivotButton="0" quotePrefix="0" xfId="0"/>
    <xf numFmtId="0" fontId="0" fillId="0" borderId="84" pivotButton="0" quotePrefix="0" xfId="0"/>
    <xf numFmtId="0" fontId="3" fillId="2" borderId="82" applyAlignment="1" applyProtection="1" pivotButton="0" quotePrefix="0" xfId="0">
      <alignment horizontal="center" wrapText="1"/>
      <protection locked="0" hidden="0"/>
    </xf>
    <xf numFmtId="0" fontId="0" fillId="0" borderId="84" applyProtection="1" pivotButton="0" quotePrefix="0" xfId="0">
      <protection locked="0" hidden="0"/>
    </xf>
    <xf numFmtId="0" fontId="4" fillId="0" borderId="82" applyAlignment="1" pivotButton="0" quotePrefix="0" xfId="0">
      <alignment horizontal="center"/>
    </xf>
    <xf numFmtId="0" fontId="2" fillId="0" borderId="82" applyAlignment="1" pivotButton="0" quotePrefix="0" xfId="0">
      <alignment horizontal="center"/>
    </xf>
    <xf numFmtId="0" fontId="2" fillId="0" borderId="83" applyAlignment="1" pivotButton="0" quotePrefix="0" xfId="0">
      <alignment horizontal="center"/>
    </xf>
    <xf numFmtId="0" fontId="2" fillId="0" borderId="84" applyAlignment="1" pivotButton="0" quotePrefix="0" xfId="0">
      <alignment horizontal="center"/>
    </xf>
    <xf numFmtId="0" fontId="0" fillId="2" borderId="76" applyAlignment="1" applyProtection="1" pivotButton="0" quotePrefix="0" xfId="0">
      <alignment horizontal="center"/>
      <protection locked="0" hidden="0"/>
    </xf>
    <xf numFmtId="0" fontId="0" fillId="0" borderId="77" applyProtection="1" pivotButton="0" quotePrefix="0" xfId="0">
      <protection locked="0" hidden="0"/>
    </xf>
    <xf numFmtId="0" fontId="0" fillId="2" borderId="77" applyAlignment="1" applyProtection="1" pivotButton="0" quotePrefix="0" xfId="0">
      <alignment horizontal="center"/>
      <protection locked="0" hidden="0"/>
    </xf>
    <xf numFmtId="164" fontId="0" fillId="2" borderId="77" applyAlignment="1" applyProtection="1" pivotButton="0" quotePrefix="0" xfId="0">
      <alignment horizontal="center"/>
      <protection locked="0" hidden="0"/>
    </xf>
    <xf numFmtId="165" fontId="0" fillId="0" borderId="77" applyAlignment="1" pivotButton="0" quotePrefix="0" xfId="0">
      <alignment horizontal="center"/>
    </xf>
    <xf numFmtId="165" fontId="0" fillId="0" borderId="78" applyAlignment="1" pivotButton="0" quotePrefix="0" xfId="0">
      <alignment horizontal="center"/>
    </xf>
    <xf numFmtId="0" fontId="0" fillId="2" borderId="85" applyAlignment="1" applyProtection="1" pivotButton="0" quotePrefix="0" xfId="0">
      <alignment horizontal="center"/>
      <protection locked="0" hidden="0"/>
    </xf>
    <xf numFmtId="0" fontId="0" fillId="0" borderId="86" applyProtection="1" pivotButton="0" quotePrefix="0" xfId="0">
      <protection locked="0" hidden="0"/>
    </xf>
    <xf numFmtId="0" fontId="0" fillId="2" borderId="86" applyAlignment="1" applyProtection="1" pivotButton="0" quotePrefix="0" xfId="0">
      <alignment horizontal="center"/>
      <protection locked="0" hidden="0"/>
    </xf>
    <xf numFmtId="164" fontId="0" fillId="2" borderId="86" applyAlignment="1" applyProtection="1" pivotButton="0" quotePrefix="0" xfId="0">
      <alignment horizontal="center"/>
      <protection locked="0" hidden="0"/>
    </xf>
    <xf numFmtId="165" fontId="0" fillId="0" borderId="86" applyAlignment="1" pivotButton="0" quotePrefix="0" xfId="0">
      <alignment horizontal="center"/>
    </xf>
    <xf numFmtId="165" fontId="0" fillId="0" borderId="87" applyAlignment="1" pivotButton="0" quotePrefix="0" xfId="0">
      <alignment horizontal="center"/>
    </xf>
    <xf numFmtId="0" fontId="0" fillId="2" borderId="79" applyAlignment="1" applyProtection="1" pivotButton="0" quotePrefix="0" xfId="0">
      <alignment horizontal="center"/>
      <protection locked="0" hidden="0"/>
    </xf>
    <xf numFmtId="0" fontId="0" fillId="0" borderId="80" applyProtection="1" pivotButton="0" quotePrefix="0" xfId="0">
      <protection locked="0" hidden="0"/>
    </xf>
    <xf numFmtId="0" fontId="0" fillId="2" borderId="80" applyAlignment="1" applyProtection="1" pivotButton="0" quotePrefix="0" xfId="0">
      <alignment horizontal="center"/>
      <protection locked="0" hidden="0"/>
    </xf>
    <xf numFmtId="164" fontId="0" fillId="2" borderId="80" applyAlignment="1" applyProtection="1" pivotButton="0" quotePrefix="0" xfId="0">
      <alignment horizontal="center"/>
      <protection locked="0" hidden="0"/>
    </xf>
    <xf numFmtId="165" fontId="0" fillId="0" borderId="80" applyAlignment="1" pivotButton="0" quotePrefix="0" xfId="0">
      <alignment horizontal="center"/>
    </xf>
    <xf numFmtId="165" fontId="0" fillId="0" borderId="81" applyAlignment="1" pivotButton="0" quotePrefix="0" xfId="0">
      <alignment horizontal="center"/>
    </xf>
    <xf numFmtId="0" fontId="0" fillId="2" borderId="82" applyAlignment="1" applyProtection="1" pivotButton="0" quotePrefix="0" xfId="0">
      <alignment horizontal="center"/>
      <protection locked="0" hidden="0"/>
    </xf>
    <xf numFmtId="0" fontId="0" fillId="2" borderId="83" applyProtection="1" pivotButton="0" quotePrefix="0" xfId="0">
      <protection locked="0" hidden="0"/>
    </xf>
    <xf numFmtId="164" fontId="0" fillId="2" borderId="83" applyProtection="1" pivotButton="0" quotePrefix="0" xfId="0">
      <protection locked="0" hidden="0"/>
    </xf>
    <xf numFmtId="165" fontId="0" fillId="0" borderId="83" applyAlignment="1" pivotButton="0" quotePrefix="0" xfId="0">
      <alignment horizontal="center"/>
    </xf>
    <xf numFmtId="165" fontId="0" fillId="0" borderId="84" applyAlignment="1" pivotButton="0" quotePrefix="0" xfId="0">
      <alignment horizontal="center"/>
    </xf>
    <xf numFmtId="0" fontId="0" fillId="0" borderId="88" pivotButton="0" quotePrefix="0" xfId="0"/>
    <xf numFmtId="0" fontId="2" fillId="0" borderId="88" applyAlignment="1" pivotButton="0" quotePrefix="0" xfId="0">
      <alignment horizontal="right"/>
    </xf>
    <xf numFmtId="165" fontId="1" fillId="0" borderId="88" applyAlignment="1" pivotButton="0" quotePrefix="0" xfId="0">
      <alignment horizontal="center" vertical="center"/>
    </xf>
    <xf numFmtId="0" fontId="0" fillId="0" borderId="77" applyAlignment="1" pivotButton="0" quotePrefix="0" xfId="0">
      <alignment horizontal="center"/>
    </xf>
    <xf numFmtId="0" fontId="0" fillId="0" borderId="86" applyAlignment="1" pivotButton="0" quotePrefix="0" xfId="0">
      <alignment horizontal="center"/>
    </xf>
    <xf numFmtId="0" fontId="0" fillId="0" borderId="80" applyAlignment="1" pivotButton="0" quotePrefix="0" xfId="0">
      <alignment horizontal="center"/>
    </xf>
    <xf numFmtId="0" fontId="4" fillId="0" borderId="83" pivotButton="0" quotePrefix="0" xfId="0"/>
    <xf numFmtId="0" fontId="2" fillId="0" borderId="84" applyAlignment="1" pivotButton="0" quotePrefix="0" xfId="0">
      <alignment horizontal="center" wrapText="1"/>
    </xf>
    <xf numFmtId="164" fontId="0" fillId="2" borderId="76" applyAlignment="1" applyProtection="1" pivotButton="0" quotePrefix="0" xfId="0">
      <alignment horizontal="center"/>
      <protection locked="0" hidden="0"/>
    </xf>
    <xf numFmtId="0" fontId="3" fillId="2" borderId="77" applyAlignment="1" applyProtection="1" pivotButton="0" quotePrefix="0" xfId="0">
      <alignment horizontal="center"/>
      <protection locked="0" hidden="0"/>
    </xf>
    <xf numFmtId="165" fontId="0" fillId="2" borderId="77" applyAlignment="1" applyProtection="1" pivotButton="0" quotePrefix="0" xfId="0">
      <alignment horizontal="center"/>
      <protection locked="0" hidden="0"/>
    </xf>
    <xf numFmtId="165" fontId="0" fillId="2" borderId="78" applyAlignment="1" applyProtection="1" pivotButton="0" quotePrefix="0" xfId="0">
      <alignment horizontal="center"/>
      <protection locked="0" hidden="0"/>
    </xf>
    <xf numFmtId="164" fontId="0" fillId="2" borderId="85" applyAlignment="1" applyProtection="1" pivotButton="0" quotePrefix="0" xfId="0">
      <alignment horizontal="center"/>
      <protection locked="0" hidden="0"/>
    </xf>
    <xf numFmtId="9" fontId="0" fillId="2" borderId="86" applyAlignment="1" applyProtection="1" pivotButton="0" quotePrefix="0" xfId="0">
      <alignment horizontal="center"/>
      <protection locked="0" hidden="0"/>
    </xf>
    <xf numFmtId="165" fontId="0" fillId="2" borderId="86" applyAlignment="1" applyProtection="1" pivotButton="0" quotePrefix="0" xfId="0">
      <alignment horizontal="center"/>
      <protection locked="0" hidden="0"/>
    </xf>
    <xf numFmtId="9" fontId="3" fillId="2" borderId="86" applyAlignment="1" applyProtection="1" pivotButton="0" quotePrefix="0" xfId="0">
      <alignment horizontal="center"/>
      <protection locked="0" hidden="0"/>
    </xf>
    <xf numFmtId="165" fontId="0" fillId="2" borderId="87" applyAlignment="1" applyProtection="1" pivotButton="0" quotePrefix="0" xfId="0">
      <alignment horizontal="center"/>
      <protection locked="0" hidden="0"/>
    </xf>
    <xf numFmtId="0" fontId="3" fillId="2" borderId="86" applyAlignment="1" applyProtection="1" pivotButton="0" quotePrefix="0" xfId="0">
      <alignment horizontal="center"/>
      <protection locked="0" hidden="0"/>
    </xf>
    <xf numFmtId="16" fontId="3" fillId="2" borderId="86" applyAlignment="1" applyProtection="1" pivotButton="0" quotePrefix="0" xfId="0">
      <alignment horizontal="center"/>
      <protection locked="0" hidden="0"/>
    </xf>
    <xf numFmtId="164" fontId="0" fillId="2" borderId="79" applyAlignment="1" applyProtection="1" pivotButton="0" quotePrefix="0" xfId="0">
      <alignment horizontal="center"/>
      <protection locked="0" hidden="0"/>
    </xf>
    <xf numFmtId="165" fontId="0" fillId="2" borderId="80" applyAlignment="1" applyProtection="1" pivotButton="0" quotePrefix="0" xfId="0">
      <alignment horizontal="center"/>
      <protection locked="0" hidden="0"/>
    </xf>
    <xf numFmtId="165" fontId="0" fillId="2" borderId="81" applyAlignment="1" applyProtection="1" pivotButton="0" quotePrefix="0" xfId="0">
      <alignment horizontal="center"/>
      <protection locked="0" hidden="0"/>
    </xf>
    <xf numFmtId="0" fontId="1" fillId="0" borderId="88" applyAlignment="1" pivotButton="0" quotePrefix="0" xfId="0">
      <alignment horizontal="right"/>
    </xf>
    <xf numFmtId="0" fontId="3" fillId="0" borderId="76" applyAlignment="1" pivotButton="0" quotePrefix="0" xfId="0">
      <alignment horizontal="center" vertical="center" wrapText="1"/>
    </xf>
    <xf numFmtId="0" fontId="0" fillId="0" borderId="77" applyAlignment="1" pivotButton="0" quotePrefix="0" xfId="0">
      <alignment horizontal="center" vertical="center"/>
    </xf>
    <xf numFmtId="0" fontId="0" fillId="0" borderId="77" applyAlignment="1" pivotButton="0" quotePrefix="0" xfId="0">
      <alignment horizontal="center" vertical="center" wrapText="1"/>
    </xf>
    <xf numFmtId="0" fontId="3" fillId="0" borderId="77" applyAlignment="1" pivotButton="0" quotePrefix="0" xfId="0">
      <alignment horizontal="center"/>
    </xf>
    <xf numFmtId="0" fontId="0" fillId="0" borderId="78" applyAlignment="1" pivotButton="0" quotePrefix="0" xfId="0">
      <alignment horizontal="center"/>
    </xf>
    <xf numFmtId="0" fontId="0" fillId="2" borderId="85" applyAlignment="1" applyProtection="1" pivotButton="0" quotePrefix="0" xfId="0">
      <alignment horizontal="center" wrapText="1"/>
      <protection locked="0" hidden="0"/>
    </xf>
    <xf numFmtId="14" fontId="0" fillId="2" borderId="86" applyAlignment="1" applyProtection="1" pivotButton="0" quotePrefix="0" xfId="0">
      <alignment horizontal="center" wrapText="1"/>
      <protection locked="0" hidden="0"/>
    </xf>
    <xf numFmtId="0" fontId="0" fillId="2" borderId="86" applyAlignment="1" applyProtection="1" pivotButton="0" quotePrefix="0" xfId="0">
      <alignment horizontal="center" wrapText="1"/>
      <protection locked="0" hidden="0"/>
    </xf>
    <xf numFmtId="0" fontId="0" fillId="2" borderId="87" applyAlignment="1" applyProtection="1" pivotButton="0" quotePrefix="0" xfId="0">
      <alignment horizontal="center" wrapText="1"/>
      <protection locked="0" hidden="0"/>
    </xf>
    <xf numFmtId="0" fontId="0" fillId="0" borderId="79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tabColor rgb="FF0070C0"/>
    <outlinePr summaryBelow="1" summaryRight="1"/>
    <pageSetUpPr fitToPage="1"/>
  </sheetPr>
  <dimension ref="B1:L65"/>
  <sheetViews>
    <sheetView showGridLines="0" tabSelected="1" topLeftCell="A3" zoomScaleNormal="100" workbookViewId="0">
      <selection activeCell="O7" sqref="O7"/>
    </sheetView>
  </sheetViews>
  <sheetFormatPr baseColWidth="8" defaultRowHeight="12.75"/>
  <cols>
    <col width="5.7109375" customWidth="1" min="1" max="1"/>
    <col width="15" customWidth="1" min="2" max="2"/>
    <col width="11.7109375" customWidth="1" min="3" max="3"/>
    <col width="17.140625" customWidth="1" min="4" max="4"/>
    <col width="12.7109375" customWidth="1" min="5" max="5"/>
    <col width="13.140625" customWidth="1" min="6" max="8"/>
    <col width="20.28515625" customWidth="1" min="9" max="9"/>
    <col width="17.28515625" customWidth="1" min="10" max="10"/>
    <col width="10.140625" bestFit="1" customWidth="1" min="11" max="12"/>
    <col width="5.7109375" customWidth="1" min="257" max="257"/>
    <col width="15" customWidth="1" min="258" max="258"/>
    <col width="11.7109375" customWidth="1" min="259" max="259"/>
    <col width="17.140625" customWidth="1" min="260" max="260"/>
    <col width="12.7109375" customWidth="1" min="261" max="261"/>
    <col width="13.140625" customWidth="1" min="262" max="264"/>
    <col width="24.85546875" customWidth="1" min="265" max="265"/>
    <col width="23.7109375" customWidth="1" min="266" max="266"/>
    <col width="10.140625" bestFit="1" customWidth="1" min="267" max="268"/>
    <col width="5.7109375" customWidth="1" min="513" max="513"/>
    <col width="15" customWidth="1" min="514" max="514"/>
    <col width="11.7109375" customWidth="1" min="515" max="515"/>
    <col width="17.140625" customWidth="1" min="516" max="516"/>
    <col width="12.7109375" customWidth="1" min="517" max="517"/>
    <col width="13.140625" customWidth="1" min="518" max="520"/>
    <col width="24.85546875" customWidth="1" min="521" max="521"/>
    <col width="23.7109375" customWidth="1" min="522" max="522"/>
    <col width="10.140625" bestFit="1" customWidth="1" min="523" max="524"/>
    <col width="5.7109375" customWidth="1" min="769" max="769"/>
    <col width="15" customWidth="1" min="770" max="770"/>
    <col width="11.7109375" customWidth="1" min="771" max="771"/>
    <col width="17.140625" customWidth="1" min="772" max="772"/>
    <col width="12.7109375" customWidth="1" min="773" max="773"/>
    <col width="13.140625" customWidth="1" min="774" max="776"/>
    <col width="24.85546875" customWidth="1" min="777" max="777"/>
    <col width="23.7109375" customWidth="1" min="778" max="778"/>
    <col width="10.140625" bestFit="1" customWidth="1" min="779" max="780"/>
    <col width="5.7109375" customWidth="1" min="1025" max="1025"/>
    <col width="15" customWidth="1" min="1026" max="1026"/>
    <col width="11.7109375" customWidth="1" min="1027" max="1027"/>
    <col width="17.140625" customWidth="1" min="1028" max="1028"/>
    <col width="12.7109375" customWidth="1" min="1029" max="1029"/>
    <col width="13.140625" customWidth="1" min="1030" max="1032"/>
    <col width="24.85546875" customWidth="1" min="1033" max="1033"/>
    <col width="23.7109375" customWidth="1" min="1034" max="1034"/>
    <col width="10.140625" bestFit="1" customWidth="1" min="1035" max="1036"/>
    <col width="5.7109375" customWidth="1" min="1281" max="1281"/>
    <col width="15" customWidth="1" min="1282" max="1282"/>
    <col width="11.7109375" customWidth="1" min="1283" max="1283"/>
    <col width="17.140625" customWidth="1" min="1284" max="1284"/>
    <col width="12.7109375" customWidth="1" min="1285" max="1285"/>
    <col width="13.140625" customWidth="1" min="1286" max="1288"/>
    <col width="24.85546875" customWidth="1" min="1289" max="1289"/>
    <col width="23.7109375" customWidth="1" min="1290" max="1290"/>
    <col width="10.140625" bestFit="1" customWidth="1" min="1291" max="1292"/>
    <col width="5.7109375" customWidth="1" min="1537" max="1537"/>
    <col width="15" customWidth="1" min="1538" max="1538"/>
    <col width="11.7109375" customWidth="1" min="1539" max="1539"/>
    <col width="17.140625" customWidth="1" min="1540" max="1540"/>
    <col width="12.7109375" customWidth="1" min="1541" max="1541"/>
    <col width="13.140625" customWidth="1" min="1542" max="1544"/>
    <col width="24.85546875" customWidth="1" min="1545" max="1545"/>
    <col width="23.7109375" customWidth="1" min="1546" max="1546"/>
    <col width="10.140625" bestFit="1" customWidth="1" min="1547" max="1548"/>
    <col width="5.7109375" customWidth="1" min="1793" max="1793"/>
    <col width="15" customWidth="1" min="1794" max="1794"/>
    <col width="11.7109375" customWidth="1" min="1795" max="1795"/>
    <col width="17.140625" customWidth="1" min="1796" max="1796"/>
    <col width="12.7109375" customWidth="1" min="1797" max="1797"/>
    <col width="13.140625" customWidth="1" min="1798" max="1800"/>
    <col width="24.85546875" customWidth="1" min="1801" max="1801"/>
    <col width="23.7109375" customWidth="1" min="1802" max="1802"/>
    <col width="10.140625" bestFit="1" customWidth="1" min="1803" max="1804"/>
    <col width="5.7109375" customWidth="1" min="2049" max="2049"/>
    <col width="15" customWidth="1" min="2050" max="2050"/>
    <col width="11.7109375" customWidth="1" min="2051" max="2051"/>
    <col width="17.140625" customWidth="1" min="2052" max="2052"/>
    <col width="12.7109375" customWidth="1" min="2053" max="2053"/>
    <col width="13.140625" customWidth="1" min="2054" max="2056"/>
    <col width="24.85546875" customWidth="1" min="2057" max="2057"/>
    <col width="23.7109375" customWidth="1" min="2058" max="2058"/>
    <col width="10.140625" bestFit="1" customWidth="1" min="2059" max="2060"/>
    <col width="5.7109375" customWidth="1" min="2305" max="2305"/>
    <col width="15" customWidth="1" min="2306" max="2306"/>
    <col width="11.7109375" customWidth="1" min="2307" max="2307"/>
    <col width="17.140625" customWidth="1" min="2308" max="2308"/>
    <col width="12.7109375" customWidth="1" min="2309" max="2309"/>
    <col width="13.140625" customWidth="1" min="2310" max="2312"/>
    <col width="24.85546875" customWidth="1" min="2313" max="2313"/>
    <col width="23.7109375" customWidth="1" min="2314" max="2314"/>
    <col width="10.140625" bestFit="1" customWidth="1" min="2315" max="2316"/>
    <col width="5.7109375" customWidth="1" min="2561" max="2561"/>
    <col width="15" customWidth="1" min="2562" max="2562"/>
    <col width="11.7109375" customWidth="1" min="2563" max="2563"/>
    <col width="17.140625" customWidth="1" min="2564" max="2564"/>
    <col width="12.7109375" customWidth="1" min="2565" max="2565"/>
    <col width="13.140625" customWidth="1" min="2566" max="2568"/>
    <col width="24.85546875" customWidth="1" min="2569" max="2569"/>
    <col width="23.7109375" customWidth="1" min="2570" max="2570"/>
    <col width="10.140625" bestFit="1" customWidth="1" min="2571" max="2572"/>
    <col width="5.7109375" customWidth="1" min="2817" max="2817"/>
    <col width="15" customWidth="1" min="2818" max="2818"/>
    <col width="11.7109375" customWidth="1" min="2819" max="2819"/>
    <col width="17.140625" customWidth="1" min="2820" max="2820"/>
    <col width="12.7109375" customWidth="1" min="2821" max="2821"/>
    <col width="13.140625" customWidth="1" min="2822" max="2824"/>
    <col width="24.85546875" customWidth="1" min="2825" max="2825"/>
    <col width="23.7109375" customWidth="1" min="2826" max="2826"/>
    <col width="10.140625" bestFit="1" customWidth="1" min="2827" max="2828"/>
    <col width="5.7109375" customWidth="1" min="3073" max="3073"/>
    <col width="15" customWidth="1" min="3074" max="3074"/>
    <col width="11.7109375" customWidth="1" min="3075" max="3075"/>
    <col width="17.140625" customWidth="1" min="3076" max="3076"/>
    <col width="12.7109375" customWidth="1" min="3077" max="3077"/>
    <col width="13.140625" customWidth="1" min="3078" max="3080"/>
    <col width="24.85546875" customWidth="1" min="3081" max="3081"/>
    <col width="23.7109375" customWidth="1" min="3082" max="3082"/>
    <col width="10.140625" bestFit="1" customWidth="1" min="3083" max="3084"/>
    <col width="5.7109375" customWidth="1" min="3329" max="3329"/>
    <col width="15" customWidth="1" min="3330" max="3330"/>
    <col width="11.7109375" customWidth="1" min="3331" max="3331"/>
    <col width="17.140625" customWidth="1" min="3332" max="3332"/>
    <col width="12.7109375" customWidth="1" min="3333" max="3333"/>
    <col width="13.140625" customWidth="1" min="3334" max="3336"/>
    <col width="24.85546875" customWidth="1" min="3337" max="3337"/>
    <col width="23.7109375" customWidth="1" min="3338" max="3338"/>
    <col width="10.140625" bestFit="1" customWidth="1" min="3339" max="3340"/>
    <col width="5.7109375" customWidth="1" min="3585" max="3585"/>
    <col width="15" customWidth="1" min="3586" max="3586"/>
    <col width="11.7109375" customWidth="1" min="3587" max="3587"/>
    <col width="17.140625" customWidth="1" min="3588" max="3588"/>
    <col width="12.7109375" customWidth="1" min="3589" max="3589"/>
    <col width="13.140625" customWidth="1" min="3590" max="3592"/>
    <col width="24.85546875" customWidth="1" min="3593" max="3593"/>
    <col width="23.7109375" customWidth="1" min="3594" max="3594"/>
    <col width="10.140625" bestFit="1" customWidth="1" min="3595" max="3596"/>
    <col width="5.7109375" customWidth="1" min="3841" max="3841"/>
    <col width="15" customWidth="1" min="3842" max="3842"/>
    <col width="11.7109375" customWidth="1" min="3843" max="3843"/>
    <col width="17.140625" customWidth="1" min="3844" max="3844"/>
    <col width="12.7109375" customWidth="1" min="3845" max="3845"/>
    <col width="13.140625" customWidth="1" min="3846" max="3848"/>
    <col width="24.85546875" customWidth="1" min="3849" max="3849"/>
    <col width="23.7109375" customWidth="1" min="3850" max="3850"/>
    <col width="10.140625" bestFit="1" customWidth="1" min="3851" max="3852"/>
    <col width="5.7109375" customWidth="1" min="4097" max="4097"/>
    <col width="15" customWidth="1" min="4098" max="4098"/>
    <col width="11.7109375" customWidth="1" min="4099" max="4099"/>
    <col width="17.140625" customWidth="1" min="4100" max="4100"/>
    <col width="12.7109375" customWidth="1" min="4101" max="4101"/>
    <col width="13.140625" customWidth="1" min="4102" max="4104"/>
    <col width="24.85546875" customWidth="1" min="4105" max="4105"/>
    <col width="23.7109375" customWidth="1" min="4106" max="4106"/>
    <col width="10.140625" bestFit="1" customWidth="1" min="4107" max="4108"/>
    <col width="5.7109375" customWidth="1" min="4353" max="4353"/>
    <col width="15" customWidth="1" min="4354" max="4354"/>
    <col width="11.7109375" customWidth="1" min="4355" max="4355"/>
    <col width="17.140625" customWidth="1" min="4356" max="4356"/>
    <col width="12.7109375" customWidth="1" min="4357" max="4357"/>
    <col width="13.140625" customWidth="1" min="4358" max="4360"/>
    <col width="24.85546875" customWidth="1" min="4361" max="4361"/>
    <col width="23.7109375" customWidth="1" min="4362" max="4362"/>
    <col width="10.140625" bestFit="1" customWidth="1" min="4363" max="4364"/>
    <col width="5.7109375" customWidth="1" min="4609" max="4609"/>
    <col width="15" customWidth="1" min="4610" max="4610"/>
    <col width="11.7109375" customWidth="1" min="4611" max="4611"/>
    <col width="17.140625" customWidth="1" min="4612" max="4612"/>
    <col width="12.7109375" customWidth="1" min="4613" max="4613"/>
    <col width="13.140625" customWidth="1" min="4614" max="4616"/>
    <col width="24.85546875" customWidth="1" min="4617" max="4617"/>
    <col width="23.7109375" customWidth="1" min="4618" max="4618"/>
    <col width="10.140625" bestFit="1" customWidth="1" min="4619" max="4620"/>
    <col width="5.7109375" customWidth="1" min="4865" max="4865"/>
    <col width="15" customWidth="1" min="4866" max="4866"/>
    <col width="11.7109375" customWidth="1" min="4867" max="4867"/>
    <col width="17.140625" customWidth="1" min="4868" max="4868"/>
    <col width="12.7109375" customWidth="1" min="4869" max="4869"/>
    <col width="13.140625" customWidth="1" min="4870" max="4872"/>
    <col width="24.85546875" customWidth="1" min="4873" max="4873"/>
    <col width="23.7109375" customWidth="1" min="4874" max="4874"/>
    <col width="10.140625" bestFit="1" customWidth="1" min="4875" max="4876"/>
    <col width="5.7109375" customWidth="1" min="5121" max="5121"/>
    <col width="15" customWidth="1" min="5122" max="5122"/>
    <col width="11.7109375" customWidth="1" min="5123" max="5123"/>
    <col width="17.140625" customWidth="1" min="5124" max="5124"/>
    <col width="12.7109375" customWidth="1" min="5125" max="5125"/>
    <col width="13.140625" customWidth="1" min="5126" max="5128"/>
    <col width="24.85546875" customWidth="1" min="5129" max="5129"/>
    <col width="23.7109375" customWidth="1" min="5130" max="5130"/>
    <col width="10.140625" bestFit="1" customWidth="1" min="5131" max="5132"/>
    <col width="5.7109375" customWidth="1" min="5377" max="5377"/>
    <col width="15" customWidth="1" min="5378" max="5378"/>
    <col width="11.7109375" customWidth="1" min="5379" max="5379"/>
    <col width="17.140625" customWidth="1" min="5380" max="5380"/>
    <col width="12.7109375" customWidth="1" min="5381" max="5381"/>
    <col width="13.140625" customWidth="1" min="5382" max="5384"/>
    <col width="24.85546875" customWidth="1" min="5385" max="5385"/>
    <col width="23.7109375" customWidth="1" min="5386" max="5386"/>
    <col width="10.140625" bestFit="1" customWidth="1" min="5387" max="5388"/>
    <col width="5.7109375" customWidth="1" min="5633" max="5633"/>
    <col width="15" customWidth="1" min="5634" max="5634"/>
    <col width="11.7109375" customWidth="1" min="5635" max="5635"/>
    <col width="17.140625" customWidth="1" min="5636" max="5636"/>
    <col width="12.7109375" customWidth="1" min="5637" max="5637"/>
    <col width="13.140625" customWidth="1" min="5638" max="5640"/>
    <col width="24.85546875" customWidth="1" min="5641" max="5641"/>
    <col width="23.7109375" customWidth="1" min="5642" max="5642"/>
    <col width="10.140625" bestFit="1" customWidth="1" min="5643" max="5644"/>
    <col width="5.7109375" customWidth="1" min="5889" max="5889"/>
    <col width="15" customWidth="1" min="5890" max="5890"/>
    <col width="11.7109375" customWidth="1" min="5891" max="5891"/>
    <col width="17.140625" customWidth="1" min="5892" max="5892"/>
    <col width="12.7109375" customWidth="1" min="5893" max="5893"/>
    <col width="13.140625" customWidth="1" min="5894" max="5896"/>
    <col width="24.85546875" customWidth="1" min="5897" max="5897"/>
    <col width="23.7109375" customWidth="1" min="5898" max="5898"/>
    <col width="10.140625" bestFit="1" customWidth="1" min="5899" max="5900"/>
    <col width="5.7109375" customWidth="1" min="6145" max="6145"/>
    <col width="15" customWidth="1" min="6146" max="6146"/>
    <col width="11.7109375" customWidth="1" min="6147" max="6147"/>
    <col width="17.140625" customWidth="1" min="6148" max="6148"/>
    <col width="12.7109375" customWidth="1" min="6149" max="6149"/>
    <col width="13.140625" customWidth="1" min="6150" max="6152"/>
    <col width="24.85546875" customWidth="1" min="6153" max="6153"/>
    <col width="23.7109375" customWidth="1" min="6154" max="6154"/>
    <col width="10.140625" bestFit="1" customWidth="1" min="6155" max="6156"/>
    <col width="5.7109375" customWidth="1" min="6401" max="6401"/>
    <col width="15" customWidth="1" min="6402" max="6402"/>
    <col width="11.7109375" customWidth="1" min="6403" max="6403"/>
    <col width="17.140625" customWidth="1" min="6404" max="6404"/>
    <col width="12.7109375" customWidth="1" min="6405" max="6405"/>
    <col width="13.140625" customWidth="1" min="6406" max="6408"/>
    <col width="24.85546875" customWidth="1" min="6409" max="6409"/>
    <col width="23.7109375" customWidth="1" min="6410" max="6410"/>
    <col width="10.140625" bestFit="1" customWidth="1" min="6411" max="6412"/>
    <col width="5.7109375" customWidth="1" min="6657" max="6657"/>
    <col width="15" customWidth="1" min="6658" max="6658"/>
    <col width="11.7109375" customWidth="1" min="6659" max="6659"/>
    <col width="17.140625" customWidth="1" min="6660" max="6660"/>
    <col width="12.7109375" customWidth="1" min="6661" max="6661"/>
    <col width="13.140625" customWidth="1" min="6662" max="6664"/>
    <col width="24.85546875" customWidth="1" min="6665" max="6665"/>
    <col width="23.7109375" customWidth="1" min="6666" max="6666"/>
    <col width="10.140625" bestFit="1" customWidth="1" min="6667" max="6668"/>
    <col width="5.7109375" customWidth="1" min="6913" max="6913"/>
    <col width="15" customWidth="1" min="6914" max="6914"/>
    <col width="11.7109375" customWidth="1" min="6915" max="6915"/>
    <col width="17.140625" customWidth="1" min="6916" max="6916"/>
    <col width="12.7109375" customWidth="1" min="6917" max="6917"/>
    <col width="13.140625" customWidth="1" min="6918" max="6920"/>
    <col width="24.85546875" customWidth="1" min="6921" max="6921"/>
    <col width="23.7109375" customWidth="1" min="6922" max="6922"/>
    <col width="10.140625" bestFit="1" customWidth="1" min="6923" max="6924"/>
    <col width="5.7109375" customWidth="1" min="7169" max="7169"/>
    <col width="15" customWidth="1" min="7170" max="7170"/>
    <col width="11.7109375" customWidth="1" min="7171" max="7171"/>
    <col width="17.140625" customWidth="1" min="7172" max="7172"/>
    <col width="12.7109375" customWidth="1" min="7173" max="7173"/>
    <col width="13.140625" customWidth="1" min="7174" max="7176"/>
    <col width="24.85546875" customWidth="1" min="7177" max="7177"/>
    <col width="23.7109375" customWidth="1" min="7178" max="7178"/>
    <col width="10.140625" bestFit="1" customWidth="1" min="7179" max="7180"/>
    <col width="5.7109375" customWidth="1" min="7425" max="7425"/>
    <col width="15" customWidth="1" min="7426" max="7426"/>
    <col width="11.7109375" customWidth="1" min="7427" max="7427"/>
    <col width="17.140625" customWidth="1" min="7428" max="7428"/>
    <col width="12.7109375" customWidth="1" min="7429" max="7429"/>
    <col width="13.140625" customWidth="1" min="7430" max="7432"/>
    <col width="24.85546875" customWidth="1" min="7433" max="7433"/>
    <col width="23.7109375" customWidth="1" min="7434" max="7434"/>
    <col width="10.140625" bestFit="1" customWidth="1" min="7435" max="7436"/>
    <col width="5.7109375" customWidth="1" min="7681" max="7681"/>
    <col width="15" customWidth="1" min="7682" max="7682"/>
    <col width="11.7109375" customWidth="1" min="7683" max="7683"/>
    <col width="17.140625" customWidth="1" min="7684" max="7684"/>
    <col width="12.7109375" customWidth="1" min="7685" max="7685"/>
    <col width="13.140625" customWidth="1" min="7686" max="7688"/>
    <col width="24.85546875" customWidth="1" min="7689" max="7689"/>
    <col width="23.7109375" customWidth="1" min="7690" max="7690"/>
    <col width="10.140625" bestFit="1" customWidth="1" min="7691" max="7692"/>
    <col width="5.7109375" customWidth="1" min="7937" max="7937"/>
    <col width="15" customWidth="1" min="7938" max="7938"/>
    <col width="11.7109375" customWidth="1" min="7939" max="7939"/>
    <col width="17.140625" customWidth="1" min="7940" max="7940"/>
    <col width="12.7109375" customWidth="1" min="7941" max="7941"/>
    <col width="13.140625" customWidth="1" min="7942" max="7944"/>
    <col width="24.85546875" customWidth="1" min="7945" max="7945"/>
    <col width="23.7109375" customWidth="1" min="7946" max="7946"/>
    <col width="10.140625" bestFit="1" customWidth="1" min="7947" max="7948"/>
    <col width="5.7109375" customWidth="1" min="8193" max="8193"/>
    <col width="15" customWidth="1" min="8194" max="8194"/>
    <col width="11.7109375" customWidth="1" min="8195" max="8195"/>
    <col width="17.140625" customWidth="1" min="8196" max="8196"/>
    <col width="12.7109375" customWidth="1" min="8197" max="8197"/>
    <col width="13.140625" customWidth="1" min="8198" max="8200"/>
    <col width="24.85546875" customWidth="1" min="8201" max="8201"/>
    <col width="23.7109375" customWidth="1" min="8202" max="8202"/>
    <col width="10.140625" bestFit="1" customWidth="1" min="8203" max="8204"/>
    <col width="5.7109375" customWidth="1" min="8449" max="8449"/>
    <col width="15" customWidth="1" min="8450" max="8450"/>
    <col width="11.7109375" customWidth="1" min="8451" max="8451"/>
    <col width="17.140625" customWidth="1" min="8452" max="8452"/>
    <col width="12.7109375" customWidth="1" min="8453" max="8453"/>
    <col width="13.140625" customWidth="1" min="8454" max="8456"/>
    <col width="24.85546875" customWidth="1" min="8457" max="8457"/>
    <col width="23.7109375" customWidth="1" min="8458" max="8458"/>
    <col width="10.140625" bestFit="1" customWidth="1" min="8459" max="8460"/>
    <col width="5.7109375" customWidth="1" min="8705" max="8705"/>
    <col width="15" customWidth="1" min="8706" max="8706"/>
    <col width="11.7109375" customWidth="1" min="8707" max="8707"/>
    <col width="17.140625" customWidth="1" min="8708" max="8708"/>
    <col width="12.7109375" customWidth="1" min="8709" max="8709"/>
    <col width="13.140625" customWidth="1" min="8710" max="8712"/>
    <col width="24.85546875" customWidth="1" min="8713" max="8713"/>
    <col width="23.7109375" customWidth="1" min="8714" max="8714"/>
    <col width="10.140625" bestFit="1" customWidth="1" min="8715" max="8716"/>
    <col width="5.7109375" customWidth="1" min="8961" max="8961"/>
    <col width="15" customWidth="1" min="8962" max="8962"/>
    <col width="11.7109375" customWidth="1" min="8963" max="8963"/>
    <col width="17.140625" customWidth="1" min="8964" max="8964"/>
    <col width="12.7109375" customWidth="1" min="8965" max="8965"/>
    <col width="13.140625" customWidth="1" min="8966" max="8968"/>
    <col width="24.85546875" customWidth="1" min="8969" max="8969"/>
    <col width="23.7109375" customWidth="1" min="8970" max="8970"/>
    <col width="10.140625" bestFit="1" customWidth="1" min="8971" max="8972"/>
    <col width="5.7109375" customWidth="1" min="9217" max="9217"/>
    <col width="15" customWidth="1" min="9218" max="9218"/>
    <col width="11.7109375" customWidth="1" min="9219" max="9219"/>
    <col width="17.140625" customWidth="1" min="9220" max="9220"/>
    <col width="12.7109375" customWidth="1" min="9221" max="9221"/>
    <col width="13.140625" customWidth="1" min="9222" max="9224"/>
    <col width="24.85546875" customWidth="1" min="9225" max="9225"/>
    <col width="23.7109375" customWidth="1" min="9226" max="9226"/>
    <col width="10.140625" bestFit="1" customWidth="1" min="9227" max="9228"/>
    <col width="5.7109375" customWidth="1" min="9473" max="9473"/>
    <col width="15" customWidth="1" min="9474" max="9474"/>
    <col width="11.7109375" customWidth="1" min="9475" max="9475"/>
    <col width="17.140625" customWidth="1" min="9476" max="9476"/>
    <col width="12.7109375" customWidth="1" min="9477" max="9477"/>
    <col width="13.140625" customWidth="1" min="9478" max="9480"/>
    <col width="24.85546875" customWidth="1" min="9481" max="9481"/>
    <col width="23.7109375" customWidth="1" min="9482" max="9482"/>
    <col width="10.140625" bestFit="1" customWidth="1" min="9483" max="9484"/>
    <col width="5.7109375" customWidth="1" min="9729" max="9729"/>
    <col width="15" customWidth="1" min="9730" max="9730"/>
    <col width="11.7109375" customWidth="1" min="9731" max="9731"/>
    <col width="17.140625" customWidth="1" min="9732" max="9732"/>
    <col width="12.7109375" customWidth="1" min="9733" max="9733"/>
    <col width="13.140625" customWidth="1" min="9734" max="9736"/>
    <col width="24.85546875" customWidth="1" min="9737" max="9737"/>
    <col width="23.7109375" customWidth="1" min="9738" max="9738"/>
    <col width="10.140625" bestFit="1" customWidth="1" min="9739" max="9740"/>
    <col width="5.7109375" customWidth="1" min="9985" max="9985"/>
    <col width="15" customWidth="1" min="9986" max="9986"/>
    <col width="11.7109375" customWidth="1" min="9987" max="9987"/>
    <col width="17.140625" customWidth="1" min="9988" max="9988"/>
    <col width="12.7109375" customWidth="1" min="9989" max="9989"/>
    <col width="13.140625" customWidth="1" min="9990" max="9992"/>
    <col width="24.85546875" customWidth="1" min="9993" max="9993"/>
    <col width="23.7109375" customWidth="1" min="9994" max="9994"/>
    <col width="10.140625" bestFit="1" customWidth="1" min="9995" max="9996"/>
    <col width="5.7109375" customWidth="1" min="10241" max="10241"/>
    <col width="15" customWidth="1" min="10242" max="10242"/>
    <col width="11.7109375" customWidth="1" min="10243" max="10243"/>
    <col width="17.140625" customWidth="1" min="10244" max="10244"/>
    <col width="12.7109375" customWidth="1" min="10245" max="10245"/>
    <col width="13.140625" customWidth="1" min="10246" max="10248"/>
    <col width="24.85546875" customWidth="1" min="10249" max="10249"/>
    <col width="23.7109375" customWidth="1" min="10250" max="10250"/>
    <col width="10.140625" bestFit="1" customWidth="1" min="10251" max="10252"/>
    <col width="5.7109375" customWidth="1" min="10497" max="10497"/>
    <col width="15" customWidth="1" min="10498" max="10498"/>
    <col width="11.7109375" customWidth="1" min="10499" max="10499"/>
    <col width="17.140625" customWidth="1" min="10500" max="10500"/>
    <col width="12.7109375" customWidth="1" min="10501" max="10501"/>
    <col width="13.140625" customWidth="1" min="10502" max="10504"/>
    <col width="24.85546875" customWidth="1" min="10505" max="10505"/>
    <col width="23.7109375" customWidth="1" min="10506" max="10506"/>
    <col width="10.140625" bestFit="1" customWidth="1" min="10507" max="10508"/>
    <col width="5.7109375" customWidth="1" min="10753" max="10753"/>
    <col width="15" customWidth="1" min="10754" max="10754"/>
    <col width="11.7109375" customWidth="1" min="10755" max="10755"/>
    <col width="17.140625" customWidth="1" min="10756" max="10756"/>
    <col width="12.7109375" customWidth="1" min="10757" max="10757"/>
    <col width="13.140625" customWidth="1" min="10758" max="10760"/>
    <col width="24.85546875" customWidth="1" min="10761" max="10761"/>
    <col width="23.7109375" customWidth="1" min="10762" max="10762"/>
    <col width="10.140625" bestFit="1" customWidth="1" min="10763" max="10764"/>
    <col width="5.7109375" customWidth="1" min="11009" max="11009"/>
    <col width="15" customWidth="1" min="11010" max="11010"/>
    <col width="11.7109375" customWidth="1" min="11011" max="11011"/>
    <col width="17.140625" customWidth="1" min="11012" max="11012"/>
    <col width="12.7109375" customWidth="1" min="11013" max="11013"/>
    <col width="13.140625" customWidth="1" min="11014" max="11016"/>
    <col width="24.85546875" customWidth="1" min="11017" max="11017"/>
    <col width="23.7109375" customWidth="1" min="11018" max="11018"/>
    <col width="10.140625" bestFit="1" customWidth="1" min="11019" max="11020"/>
    <col width="5.7109375" customWidth="1" min="11265" max="11265"/>
    <col width="15" customWidth="1" min="11266" max="11266"/>
    <col width="11.7109375" customWidth="1" min="11267" max="11267"/>
    <col width="17.140625" customWidth="1" min="11268" max="11268"/>
    <col width="12.7109375" customWidth="1" min="11269" max="11269"/>
    <col width="13.140625" customWidth="1" min="11270" max="11272"/>
    <col width="24.85546875" customWidth="1" min="11273" max="11273"/>
    <col width="23.7109375" customWidth="1" min="11274" max="11274"/>
    <col width="10.140625" bestFit="1" customWidth="1" min="11275" max="11276"/>
    <col width="5.7109375" customWidth="1" min="11521" max="11521"/>
    <col width="15" customWidth="1" min="11522" max="11522"/>
    <col width="11.7109375" customWidth="1" min="11523" max="11523"/>
    <col width="17.140625" customWidth="1" min="11524" max="11524"/>
    <col width="12.7109375" customWidth="1" min="11525" max="11525"/>
    <col width="13.140625" customWidth="1" min="11526" max="11528"/>
    <col width="24.85546875" customWidth="1" min="11529" max="11529"/>
    <col width="23.7109375" customWidth="1" min="11530" max="11530"/>
    <col width="10.140625" bestFit="1" customWidth="1" min="11531" max="11532"/>
    <col width="5.7109375" customWidth="1" min="11777" max="11777"/>
    <col width="15" customWidth="1" min="11778" max="11778"/>
    <col width="11.7109375" customWidth="1" min="11779" max="11779"/>
    <col width="17.140625" customWidth="1" min="11780" max="11780"/>
    <col width="12.7109375" customWidth="1" min="11781" max="11781"/>
    <col width="13.140625" customWidth="1" min="11782" max="11784"/>
    <col width="24.85546875" customWidth="1" min="11785" max="11785"/>
    <col width="23.7109375" customWidth="1" min="11786" max="11786"/>
    <col width="10.140625" bestFit="1" customWidth="1" min="11787" max="11788"/>
    <col width="5.7109375" customWidth="1" min="12033" max="12033"/>
    <col width="15" customWidth="1" min="12034" max="12034"/>
    <col width="11.7109375" customWidth="1" min="12035" max="12035"/>
    <col width="17.140625" customWidth="1" min="12036" max="12036"/>
    <col width="12.7109375" customWidth="1" min="12037" max="12037"/>
    <col width="13.140625" customWidth="1" min="12038" max="12040"/>
    <col width="24.85546875" customWidth="1" min="12041" max="12041"/>
    <col width="23.7109375" customWidth="1" min="12042" max="12042"/>
    <col width="10.140625" bestFit="1" customWidth="1" min="12043" max="12044"/>
    <col width="5.7109375" customWidth="1" min="12289" max="12289"/>
    <col width="15" customWidth="1" min="12290" max="12290"/>
    <col width="11.7109375" customWidth="1" min="12291" max="12291"/>
    <col width="17.140625" customWidth="1" min="12292" max="12292"/>
    <col width="12.7109375" customWidth="1" min="12293" max="12293"/>
    <col width="13.140625" customWidth="1" min="12294" max="12296"/>
    <col width="24.85546875" customWidth="1" min="12297" max="12297"/>
    <col width="23.7109375" customWidth="1" min="12298" max="12298"/>
    <col width="10.140625" bestFit="1" customWidth="1" min="12299" max="12300"/>
    <col width="5.7109375" customWidth="1" min="12545" max="12545"/>
    <col width="15" customWidth="1" min="12546" max="12546"/>
    <col width="11.7109375" customWidth="1" min="12547" max="12547"/>
    <col width="17.140625" customWidth="1" min="12548" max="12548"/>
    <col width="12.7109375" customWidth="1" min="12549" max="12549"/>
    <col width="13.140625" customWidth="1" min="12550" max="12552"/>
    <col width="24.85546875" customWidth="1" min="12553" max="12553"/>
    <col width="23.7109375" customWidth="1" min="12554" max="12554"/>
    <col width="10.140625" bestFit="1" customWidth="1" min="12555" max="12556"/>
    <col width="5.7109375" customWidth="1" min="12801" max="12801"/>
    <col width="15" customWidth="1" min="12802" max="12802"/>
    <col width="11.7109375" customWidth="1" min="12803" max="12803"/>
    <col width="17.140625" customWidth="1" min="12804" max="12804"/>
    <col width="12.7109375" customWidth="1" min="12805" max="12805"/>
    <col width="13.140625" customWidth="1" min="12806" max="12808"/>
    <col width="24.85546875" customWidth="1" min="12809" max="12809"/>
    <col width="23.7109375" customWidth="1" min="12810" max="12810"/>
    <col width="10.140625" bestFit="1" customWidth="1" min="12811" max="12812"/>
    <col width="5.7109375" customWidth="1" min="13057" max="13057"/>
    <col width="15" customWidth="1" min="13058" max="13058"/>
    <col width="11.7109375" customWidth="1" min="13059" max="13059"/>
    <col width="17.140625" customWidth="1" min="13060" max="13060"/>
    <col width="12.7109375" customWidth="1" min="13061" max="13061"/>
    <col width="13.140625" customWidth="1" min="13062" max="13064"/>
    <col width="24.85546875" customWidth="1" min="13065" max="13065"/>
    <col width="23.7109375" customWidth="1" min="13066" max="13066"/>
    <col width="10.140625" bestFit="1" customWidth="1" min="13067" max="13068"/>
    <col width="5.7109375" customWidth="1" min="13313" max="13313"/>
    <col width="15" customWidth="1" min="13314" max="13314"/>
    <col width="11.7109375" customWidth="1" min="13315" max="13315"/>
    <col width="17.140625" customWidth="1" min="13316" max="13316"/>
    <col width="12.7109375" customWidth="1" min="13317" max="13317"/>
    <col width="13.140625" customWidth="1" min="13318" max="13320"/>
    <col width="24.85546875" customWidth="1" min="13321" max="13321"/>
    <col width="23.7109375" customWidth="1" min="13322" max="13322"/>
    <col width="10.140625" bestFit="1" customWidth="1" min="13323" max="13324"/>
    <col width="5.7109375" customWidth="1" min="13569" max="13569"/>
    <col width="15" customWidth="1" min="13570" max="13570"/>
    <col width="11.7109375" customWidth="1" min="13571" max="13571"/>
    <col width="17.140625" customWidth="1" min="13572" max="13572"/>
    <col width="12.7109375" customWidth="1" min="13573" max="13573"/>
    <col width="13.140625" customWidth="1" min="13574" max="13576"/>
    <col width="24.85546875" customWidth="1" min="13577" max="13577"/>
    <col width="23.7109375" customWidth="1" min="13578" max="13578"/>
    <col width="10.140625" bestFit="1" customWidth="1" min="13579" max="13580"/>
    <col width="5.7109375" customWidth="1" min="13825" max="13825"/>
    <col width="15" customWidth="1" min="13826" max="13826"/>
    <col width="11.7109375" customWidth="1" min="13827" max="13827"/>
    <col width="17.140625" customWidth="1" min="13828" max="13828"/>
    <col width="12.7109375" customWidth="1" min="13829" max="13829"/>
    <col width="13.140625" customWidth="1" min="13830" max="13832"/>
    <col width="24.85546875" customWidth="1" min="13833" max="13833"/>
    <col width="23.7109375" customWidth="1" min="13834" max="13834"/>
    <col width="10.140625" bestFit="1" customWidth="1" min="13835" max="13836"/>
    <col width="5.7109375" customWidth="1" min="14081" max="14081"/>
    <col width="15" customWidth="1" min="14082" max="14082"/>
    <col width="11.7109375" customWidth="1" min="14083" max="14083"/>
    <col width="17.140625" customWidth="1" min="14084" max="14084"/>
    <col width="12.7109375" customWidth="1" min="14085" max="14085"/>
    <col width="13.140625" customWidth="1" min="14086" max="14088"/>
    <col width="24.85546875" customWidth="1" min="14089" max="14089"/>
    <col width="23.7109375" customWidth="1" min="14090" max="14090"/>
    <col width="10.140625" bestFit="1" customWidth="1" min="14091" max="14092"/>
    <col width="5.7109375" customWidth="1" min="14337" max="14337"/>
    <col width="15" customWidth="1" min="14338" max="14338"/>
    <col width="11.7109375" customWidth="1" min="14339" max="14339"/>
    <col width="17.140625" customWidth="1" min="14340" max="14340"/>
    <col width="12.7109375" customWidth="1" min="14341" max="14341"/>
    <col width="13.140625" customWidth="1" min="14342" max="14344"/>
    <col width="24.85546875" customWidth="1" min="14345" max="14345"/>
    <col width="23.7109375" customWidth="1" min="14346" max="14346"/>
    <col width="10.140625" bestFit="1" customWidth="1" min="14347" max="14348"/>
    <col width="5.7109375" customWidth="1" min="14593" max="14593"/>
    <col width="15" customWidth="1" min="14594" max="14594"/>
    <col width="11.7109375" customWidth="1" min="14595" max="14595"/>
    <col width="17.140625" customWidth="1" min="14596" max="14596"/>
    <col width="12.7109375" customWidth="1" min="14597" max="14597"/>
    <col width="13.140625" customWidth="1" min="14598" max="14600"/>
    <col width="24.85546875" customWidth="1" min="14601" max="14601"/>
    <col width="23.7109375" customWidth="1" min="14602" max="14602"/>
    <col width="10.140625" bestFit="1" customWidth="1" min="14603" max="14604"/>
    <col width="5.7109375" customWidth="1" min="14849" max="14849"/>
    <col width="15" customWidth="1" min="14850" max="14850"/>
    <col width="11.7109375" customWidth="1" min="14851" max="14851"/>
    <col width="17.140625" customWidth="1" min="14852" max="14852"/>
    <col width="12.7109375" customWidth="1" min="14853" max="14853"/>
    <col width="13.140625" customWidth="1" min="14854" max="14856"/>
    <col width="24.85546875" customWidth="1" min="14857" max="14857"/>
    <col width="23.7109375" customWidth="1" min="14858" max="14858"/>
    <col width="10.140625" bestFit="1" customWidth="1" min="14859" max="14860"/>
    <col width="5.7109375" customWidth="1" min="15105" max="15105"/>
    <col width="15" customWidth="1" min="15106" max="15106"/>
    <col width="11.7109375" customWidth="1" min="15107" max="15107"/>
    <col width="17.140625" customWidth="1" min="15108" max="15108"/>
    <col width="12.7109375" customWidth="1" min="15109" max="15109"/>
    <col width="13.140625" customWidth="1" min="15110" max="15112"/>
    <col width="24.85546875" customWidth="1" min="15113" max="15113"/>
    <col width="23.7109375" customWidth="1" min="15114" max="15114"/>
    <col width="10.140625" bestFit="1" customWidth="1" min="15115" max="15116"/>
    <col width="5.7109375" customWidth="1" min="15361" max="15361"/>
    <col width="15" customWidth="1" min="15362" max="15362"/>
    <col width="11.7109375" customWidth="1" min="15363" max="15363"/>
    <col width="17.140625" customWidth="1" min="15364" max="15364"/>
    <col width="12.7109375" customWidth="1" min="15365" max="15365"/>
    <col width="13.140625" customWidth="1" min="15366" max="15368"/>
    <col width="24.85546875" customWidth="1" min="15369" max="15369"/>
    <col width="23.7109375" customWidth="1" min="15370" max="15370"/>
    <col width="10.140625" bestFit="1" customWidth="1" min="15371" max="15372"/>
    <col width="5.7109375" customWidth="1" min="15617" max="15617"/>
    <col width="15" customWidth="1" min="15618" max="15618"/>
    <col width="11.7109375" customWidth="1" min="15619" max="15619"/>
    <col width="17.140625" customWidth="1" min="15620" max="15620"/>
    <col width="12.7109375" customWidth="1" min="15621" max="15621"/>
    <col width="13.140625" customWidth="1" min="15622" max="15624"/>
    <col width="24.85546875" customWidth="1" min="15625" max="15625"/>
    <col width="23.7109375" customWidth="1" min="15626" max="15626"/>
    <col width="10.140625" bestFit="1" customWidth="1" min="15627" max="15628"/>
    <col width="5.7109375" customWidth="1" min="15873" max="15873"/>
    <col width="15" customWidth="1" min="15874" max="15874"/>
    <col width="11.7109375" customWidth="1" min="15875" max="15875"/>
    <col width="17.140625" customWidth="1" min="15876" max="15876"/>
    <col width="12.7109375" customWidth="1" min="15877" max="15877"/>
    <col width="13.140625" customWidth="1" min="15878" max="15880"/>
    <col width="24.85546875" customWidth="1" min="15881" max="15881"/>
    <col width="23.7109375" customWidth="1" min="15882" max="15882"/>
    <col width="10.140625" bestFit="1" customWidth="1" min="15883" max="15884"/>
    <col width="5.7109375" customWidth="1" min="16129" max="16129"/>
    <col width="15" customWidth="1" min="16130" max="16130"/>
    <col width="11.7109375" customWidth="1" min="16131" max="16131"/>
    <col width="17.140625" customWidth="1" min="16132" max="16132"/>
    <col width="12.7109375" customWidth="1" min="16133" max="16133"/>
    <col width="13.140625" customWidth="1" min="16134" max="16136"/>
    <col width="24.85546875" customWidth="1" min="16137" max="16137"/>
    <col width="23.7109375" customWidth="1" min="16138" max="16138"/>
    <col width="10.140625" bestFit="1" customWidth="1" min="16139" max="16140"/>
  </cols>
  <sheetData>
    <row r="1" ht="18" customHeight="1">
      <c r="B1" s="129" t="n"/>
      <c r="C1" s="130" t="n"/>
      <c r="D1" s="130" t="n"/>
      <c r="E1" s="130" t="n"/>
      <c r="F1" s="130" t="n"/>
      <c r="G1" s="130" t="n"/>
      <c r="H1" s="130" t="n"/>
      <c r="I1" s="130" t="n"/>
      <c r="J1" s="131" t="n"/>
    </row>
    <row r="2" ht="18" customHeight="1">
      <c r="B2" s="132" t="inlineStr">
        <is>
          <t xml:space="preserve">AIME DAILY REPORT-WORK </t>
        </is>
      </c>
      <c r="C2" s="133" t="n"/>
      <c r="D2" s="133" t="n"/>
      <c r="E2" s="133" t="n"/>
      <c r="F2" s="133" t="n"/>
      <c r="G2" s="133" t="n"/>
      <c r="H2" s="133" t="n"/>
      <c r="I2" s="133" t="n"/>
      <c r="J2" s="134" t="n"/>
    </row>
    <row r="3" ht="26.25" customFormat="1" customHeight="1" s="1">
      <c r="B3" s="135" t="inlineStr">
        <is>
          <t>Customer:</t>
        </is>
      </c>
      <c r="C3" s="136" t="n"/>
      <c r="D3" s="137" t="n"/>
      <c r="E3" s="136" t="n"/>
      <c r="F3" s="138" t="inlineStr">
        <is>
          <t>Work Order / PO #</t>
        </is>
      </c>
      <c r="G3" s="136" t="n"/>
      <c r="H3" s="139" t="n"/>
      <c r="I3" s="138" t="inlineStr">
        <is>
          <t>Report Date:</t>
        </is>
      </c>
      <c r="J3" s="140" t="n"/>
    </row>
    <row r="4" ht="26.25" customHeight="1" thickBot="1">
      <c r="B4" s="135" t="inlineStr">
        <is>
          <t>Job Location:</t>
        </is>
      </c>
      <c r="C4" s="136" t="n"/>
      <c r="D4" s="137" t="n"/>
      <c r="E4" s="136" t="n"/>
      <c r="F4" s="136" t="n"/>
      <c r="G4" s="136" t="n"/>
      <c r="H4" s="136" t="n"/>
      <c r="I4" s="139" t="n"/>
      <c r="J4" s="140" t="n"/>
    </row>
    <row r="5" ht="18.75" customHeight="1" thickBot="1">
      <c r="B5" s="141" t="inlineStr">
        <is>
          <t>Job Number:</t>
        </is>
      </c>
      <c r="C5" s="142" t="n"/>
      <c r="D5" s="143" t="inlineStr">
        <is>
          <t>Report #:</t>
        </is>
      </c>
      <c r="E5" s="144" t="n"/>
      <c r="F5" s="142" t="n"/>
      <c r="G5" s="144" t="n"/>
      <c r="H5" s="142" t="n"/>
      <c r="I5" s="145" t="n"/>
      <c r="J5" s="146" t="n"/>
    </row>
    <row r="6" ht="13.5" customHeight="1">
      <c r="B6" s="147" t="inlineStr">
        <is>
          <t>DESCRIPTION OF WORK DONE:</t>
        </is>
      </c>
      <c r="C6" s="136" t="n"/>
      <c r="D6" s="136" t="n"/>
      <c r="E6" s="136" t="n"/>
      <c r="F6" s="136" t="n"/>
      <c r="G6" s="136" t="n"/>
      <c r="H6" s="136" t="n"/>
      <c r="I6" s="136" t="n"/>
      <c r="J6" s="148" t="n"/>
    </row>
    <row r="7" ht="83.25" customHeight="1" thickBot="1">
      <c r="B7" s="149" t="n"/>
      <c r="C7" s="142" t="n"/>
      <c r="D7" s="142" t="n"/>
      <c r="E7" s="142" t="n"/>
      <c r="F7" s="142" t="n"/>
      <c r="G7" s="142" t="n"/>
      <c r="H7" s="142" t="n"/>
      <c r="I7" s="142" t="n"/>
      <c r="J7" s="150" t="n"/>
    </row>
    <row r="8" ht="17.25" customHeight="1" thickBot="1" thickTop="1">
      <c r="B8" s="151" t="inlineStr">
        <is>
          <t>LABOR</t>
        </is>
      </c>
      <c r="C8" s="136" t="n"/>
      <c r="D8" s="136" t="n"/>
      <c r="E8" s="136" t="n"/>
      <c r="F8" s="136" t="n"/>
      <c r="G8" s="136" t="n"/>
      <c r="H8" s="136" t="n"/>
      <c r="I8" s="136" t="n"/>
      <c r="J8" s="148" t="n"/>
    </row>
    <row r="9" ht="16.5" customHeight="1" thickBot="1" thickTop="1">
      <c r="B9" s="152" t="inlineStr">
        <is>
          <t>NAME</t>
        </is>
      </c>
      <c r="C9" s="136" t="n"/>
      <c r="D9" s="153" t="inlineStr">
        <is>
          <t>CLASSIFICATION</t>
        </is>
      </c>
      <c r="E9" s="136" t="n"/>
      <c r="F9" s="153" t="inlineStr">
        <is>
          <t>REG. HRS.</t>
        </is>
      </c>
      <c r="G9" s="153" t="inlineStr">
        <is>
          <t>O.T. HRS.</t>
        </is>
      </c>
      <c r="H9" s="153" t="inlineStr">
        <is>
          <t>TRAVEL HRS.</t>
        </is>
      </c>
      <c r="I9" s="153" t="inlineStr">
        <is>
          <t>REGULAR RATE</t>
        </is>
      </c>
      <c r="J9" s="154" t="inlineStr">
        <is>
          <t>AMOUNT</t>
        </is>
      </c>
    </row>
    <row r="10" ht="13.5" customHeight="1" thickTop="1">
      <c r="B10" s="155" t="n"/>
      <c r="C10" s="156" t="n"/>
      <c r="D10" s="157" t="n"/>
      <c r="E10" s="156" t="n"/>
      <c r="F10" s="158" t="n"/>
      <c r="G10" s="158" t="n"/>
      <c r="H10" s="158" t="n"/>
      <c r="I10" s="159" t="n">
        <v>0</v>
      </c>
      <c r="J10" s="160">
        <f>IF(F10&gt;0,(F10*'3-24-2026'!I10),0)+IF(G10&gt;0,('3-24-2026'!G10*'3-24-2026'!I10*#REF!),0)+IF(H10&gt;0,('3-24-2026'!H10*'3-24-2026'!I10*#REF!),0)</f>
        <v/>
      </c>
    </row>
    <row r="11">
      <c r="B11" s="161" t="n"/>
      <c r="C11" s="162" t="n"/>
      <c r="D11" s="163" t="n"/>
      <c r="E11" s="162" t="n"/>
      <c r="F11" s="164" t="n"/>
      <c r="G11" s="164" t="n"/>
      <c r="H11" s="164" t="n"/>
      <c r="I11" s="165" t="n">
        <v>0</v>
      </c>
      <c r="J11" s="166">
        <f>IF(F11&gt;0,(F11*'3-24-2026'!I11),0)+IF(G11&gt;0,('3-24-2026'!G11*'3-24-2026'!I11*#REF!),0)+IF(H11&gt;0,('3-24-2026'!H11*'3-24-2026'!I11*#REF!),0)</f>
        <v/>
      </c>
    </row>
    <row r="12">
      <c r="B12" s="161" t="n"/>
      <c r="C12" s="162" t="n"/>
      <c r="D12" s="163" t="n"/>
      <c r="E12" s="162" t="n"/>
      <c r="F12" s="164" t="n"/>
      <c r="G12" s="164" t="n"/>
      <c r="H12" s="164" t="n"/>
      <c r="I12" s="165" t="n">
        <v>0</v>
      </c>
      <c r="J12" s="166">
        <f>IF(F12&gt;0,(F12*'3-24-2026'!I12),0)+IF(G12&gt;0,('3-24-2026'!G12*'3-24-2026'!I12*#REF!),0)+IF(H12&gt;0,('3-24-2026'!H12*'3-24-2026'!I12*#REF!),0)</f>
        <v/>
      </c>
    </row>
    <row r="13">
      <c r="B13" s="161" t="n"/>
      <c r="C13" s="162" t="n"/>
      <c r="D13" s="163" t="n"/>
      <c r="E13" s="162" t="n"/>
      <c r="F13" s="164" t="n"/>
      <c r="G13" s="164" t="n"/>
      <c r="H13" s="164" t="n"/>
      <c r="I13" s="165" t="n">
        <v>0</v>
      </c>
      <c r="J13" s="166">
        <f>IF(F13&gt;0,(F13*'3-24-2026'!I13),0)+IF(G13&gt;0,('3-24-2026'!G13*'3-24-2026'!I13*#REF!),0)+IF(H13&gt;0,('3-24-2026'!H13*'3-24-2026'!I13*#REF!),0)</f>
        <v/>
      </c>
    </row>
    <row r="14">
      <c r="B14" s="161" t="n"/>
      <c r="C14" s="162" t="n"/>
      <c r="D14" s="163" t="n"/>
      <c r="E14" s="162" t="n"/>
      <c r="F14" s="164" t="n"/>
      <c r="G14" s="164" t="n"/>
      <c r="H14" s="164" t="n"/>
      <c r="I14" s="165" t="n">
        <v>0</v>
      </c>
      <c r="J14" s="166">
        <f>IF(F14&gt;0,(F14*'3-24-2026'!I14),0)+IF(G14&gt;0,('3-24-2026'!G14*'3-24-2026'!I14*#REF!),0)+IF(H14&gt;0,('3-24-2026'!H14*'3-24-2026'!I14*#REF!),0)</f>
        <v/>
      </c>
    </row>
    <row r="15">
      <c r="B15" s="161" t="n"/>
      <c r="C15" s="162" t="n"/>
      <c r="D15" s="163" t="n"/>
      <c r="E15" s="162" t="n"/>
      <c r="F15" s="164" t="n"/>
      <c r="G15" s="164" t="n"/>
      <c r="H15" s="164" t="n"/>
      <c r="I15" s="165" t="n">
        <v>0</v>
      </c>
      <c r="J15" s="166">
        <f>IF(F15&gt;0,(F15*'3-24-2026'!I15),0)+IF(G15&gt;0,('3-24-2026'!G15*'3-24-2026'!I15*#REF!),0)+IF(H15&gt;0,('3-24-2026'!H15*'3-24-2026'!I15*#REF!),0)</f>
        <v/>
      </c>
    </row>
    <row r="16">
      <c r="B16" s="161" t="n"/>
      <c r="C16" s="162" t="n"/>
      <c r="D16" s="163" t="n"/>
      <c r="E16" s="162" t="n"/>
      <c r="F16" s="164" t="n"/>
      <c r="G16" s="164" t="n"/>
      <c r="H16" s="164" t="n"/>
      <c r="I16" s="165" t="n">
        <v>0</v>
      </c>
      <c r="J16" s="166">
        <f>IF(F16&gt;0,(F16*'3-24-2026'!I16),0)+IF(G16&gt;0,('3-24-2026'!G16*'3-24-2026'!I16*#REF!),0)+IF(H16&gt;0,('3-24-2026'!H16*'3-24-2026'!I16*#REF!),0)</f>
        <v/>
      </c>
    </row>
    <row r="17">
      <c r="B17" s="161" t="n"/>
      <c r="C17" s="162" t="n"/>
      <c r="D17" s="163" t="n"/>
      <c r="E17" s="162" t="n"/>
      <c r="F17" s="164" t="n"/>
      <c r="G17" s="164" t="n"/>
      <c r="H17" s="164" t="n"/>
      <c r="I17" s="165" t="n">
        <v>0</v>
      </c>
      <c r="J17" s="166">
        <f>IF(F17&gt;0,(F17*'3-24-2026'!I17),0)+IF(G17&gt;0,('3-24-2026'!G17*'3-24-2026'!I17*#REF!),0)+IF(H17&gt;0,('3-24-2026'!H17*'3-24-2026'!I17*#REF!),0)</f>
        <v/>
      </c>
    </row>
    <row r="18">
      <c r="B18" s="161" t="n"/>
      <c r="C18" s="162" t="n"/>
      <c r="D18" s="163" t="n"/>
      <c r="E18" s="162" t="n"/>
      <c r="F18" s="164" t="n"/>
      <c r="G18" s="164" t="n"/>
      <c r="H18" s="164" t="n"/>
      <c r="I18" s="165" t="n">
        <v>0</v>
      </c>
      <c r="J18" s="166">
        <f>IF(F18&gt;0,(F18*'3-24-2026'!I18),0)+IF(G18&gt;0,('3-24-2026'!G18*'3-24-2026'!I18*#REF!),0)+IF(H18&gt;0,('3-24-2026'!H18*'3-24-2026'!I18*#REF!),0)</f>
        <v/>
      </c>
    </row>
    <row r="19">
      <c r="B19" s="161" t="n"/>
      <c r="C19" s="162" t="n"/>
      <c r="D19" s="163" t="n"/>
      <c r="E19" s="162" t="n"/>
      <c r="F19" s="164" t="n"/>
      <c r="G19" s="164" t="n"/>
      <c r="H19" s="164" t="n"/>
      <c r="I19" s="165" t="n">
        <v>0</v>
      </c>
      <c r="J19" s="166">
        <f>IF(F19&gt;0,(F19*'3-24-2026'!I19),0)+IF(G19&gt;0,('3-24-2026'!G19*'3-24-2026'!I19*#REF!),0)+IF(H19&gt;0,('3-24-2026'!H19*'3-24-2026'!I19*#REF!),0)</f>
        <v/>
      </c>
    </row>
    <row r="20">
      <c r="B20" s="161" t="n"/>
      <c r="C20" s="162" t="n"/>
      <c r="D20" s="163" t="n"/>
      <c r="E20" s="162" t="n"/>
      <c r="F20" s="164" t="n"/>
      <c r="G20" s="164" t="n"/>
      <c r="H20" s="164" t="n"/>
      <c r="I20" s="165" t="n">
        <v>0</v>
      </c>
      <c r="J20" s="166">
        <f>IF(F20&gt;0,(F20*'3-24-2026'!I20),0)+IF(G20&gt;0,('3-24-2026'!G20*'3-24-2026'!I20*#REF!),0)+IF(H20&gt;0,('3-24-2026'!H20*'3-24-2026'!I20*#REF!),0)</f>
        <v/>
      </c>
    </row>
    <row r="21">
      <c r="B21" s="161" t="n"/>
      <c r="C21" s="162" t="n"/>
      <c r="D21" s="163" t="n"/>
      <c r="E21" s="162" t="n"/>
      <c r="F21" s="164" t="n"/>
      <c r="G21" s="164" t="n"/>
      <c r="H21" s="164" t="n"/>
      <c r="I21" s="165" t="n">
        <v>0</v>
      </c>
      <c r="J21" s="166">
        <f>IF(F21&gt;0,(F21*'3-24-2026'!I21),0)+IF(G21&gt;0,('3-24-2026'!G21*'3-24-2026'!I21*#REF!),0)+IF(H21&gt;0,('3-24-2026'!H21*'3-24-2026'!I21*#REF!),0)</f>
        <v/>
      </c>
    </row>
    <row r="22">
      <c r="B22" s="161" t="n"/>
      <c r="C22" s="162" t="n"/>
      <c r="D22" s="163" t="n"/>
      <c r="E22" s="162" t="n"/>
      <c r="F22" s="164" t="n"/>
      <c r="G22" s="164" t="n"/>
      <c r="H22" s="164" t="n"/>
      <c r="I22" s="165" t="n">
        <v>0</v>
      </c>
      <c r="J22" s="166">
        <f>IF(F22&gt;0,(F22*'3-24-2026'!I22),0)+IF(G22&gt;0,('3-24-2026'!G22*'3-24-2026'!I22*#REF!),0)+IF(H22&gt;0,('3-24-2026'!H22*'3-24-2026'!I22*#REF!),0)</f>
        <v/>
      </c>
    </row>
    <row r="23">
      <c r="B23" s="167" t="n"/>
      <c r="C23" s="168" t="n"/>
      <c r="D23" s="169" t="n"/>
      <c r="E23" s="168" t="n"/>
      <c r="F23" s="170" t="n"/>
      <c r="G23" s="170" t="n"/>
      <c r="H23" s="170" t="n"/>
      <c r="I23" s="171" t="n">
        <v>0</v>
      </c>
      <c r="J23" s="172">
        <f>IF(F23&gt;0,(F23*'3-24-2026'!I23),0)+IF(G23&gt;0,('3-24-2026'!G23*'3-24-2026'!I23*#REF!),0)+IF(H23&gt;0,('3-24-2026'!H23*'3-24-2026'!I23*#REF!),0)</f>
        <v/>
      </c>
    </row>
    <row r="24" ht="13.5" customHeight="1" thickBot="1">
      <c r="B24" s="173" t="n"/>
      <c r="C24" s="142" t="n"/>
      <c r="D24" s="174" t="inlineStr">
        <is>
          <t>Per Diem</t>
        </is>
      </c>
      <c r="E24" s="142" t="n"/>
      <c r="F24" s="175" t="n"/>
      <c r="G24" s="175" t="n"/>
      <c r="H24" s="175" t="n"/>
      <c r="I24" s="176">
        <f>IF(ISERROR(VLOOKUP(D24,#REF!,2,FALSE)),"",VLOOKUP(D24,#REF!,2,FALSE))</f>
        <v/>
      </c>
      <c r="J24" s="177">
        <f>IF(F24&gt;0,(F24*'3-24-2026'!I24),0)+IF(G24&gt;0,('3-24-2026'!G24*'3-24-2026'!I24*#REF!),0)+IF(H24&gt;0,('3-24-2026'!H24*'3-24-2026'!I24*#REF!),0)</f>
        <v/>
      </c>
    </row>
    <row r="25" ht="36.75" customHeight="1" thickBot="1" thickTop="1">
      <c r="B25" s="178" t="n"/>
      <c r="C25" s="178" t="n"/>
      <c r="D25" s="178" t="n"/>
      <c r="E25" s="178" t="n"/>
      <c r="F25" s="178" t="n"/>
      <c r="G25" s="178" t="n"/>
      <c r="H25" s="178" t="n"/>
      <c r="I25" s="179" t="inlineStr">
        <is>
          <t>TOTAL LABOR</t>
        </is>
      </c>
      <c r="J25" s="180">
        <f>ROUND(J10+J11+J12+J13+J14+J15+J16+J17+J18+J19+J20+J21+J22+J23+J24,2)</f>
        <v/>
      </c>
    </row>
    <row r="26" ht="13.5" customHeight="1" thickBot="1">
      <c r="B26" s="147" t="n"/>
      <c r="C26" s="136" t="n"/>
      <c r="D26" s="136" t="n"/>
      <c r="E26" s="136" t="n"/>
      <c r="F26" s="136" t="n"/>
      <c r="G26" s="136" t="n"/>
      <c r="H26" s="136" t="n"/>
      <c r="I26" s="136" t="n"/>
      <c r="J26" s="148" t="n"/>
    </row>
    <row r="27" ht="17.25" customHeight="1" thickBot="1" thickTop="1">
      <c r="B27" s="151" t="inlineStr">
        <is>
          <t>EQUIPMENT</t>
        </is>
      </c>
      <c r="C27" s="136" t="n"/>
      <c r="D27" s="136" t="n"/>
      <c r="E27" s="136" t="n"/>
      <c r="F27" s="136" t="n"/>
      <c r="G27" s="136" t="n"/>
      <c r="H27" s="136" t="n"/>
      <c r="I27" s="136" t="n"/>
      <c r="J27" s="148" t="n"/>
    </row>
    <row r="28" ht="16.5" customHeight="1" thickBot="1" thickTop="1">
      <c r="B28" s="152" t="inlineStr">
        <is>
          <t>DESCRIPTION</t>
        </is>
      </c>
      <c r="C28" s="136" t="n"/>
      <c r="D28" s="136" t="n"/>
      <c r="E28" s="136" t="n"/>
      <c r="F28" s="136" t="n"/>
      <c r="G28" s="153" t="inlineStr">
        <is>
          <t>Quantity</t>
        </is>
      </c>
      <c r="H28" s="153" t="inlineStr">
        <is>
          <t>Hours/Days</t>
        </is>
      </c>
      <c r="I28" s="153" t="inlineStr">
        <is>
          <t>RATE</t>
        </is>
      </c>
      <c r="J28" s="154" t="inlineStr">
        <is>
          <t>AMOUNT</t>
        </is>
      </c>
    </row>
    <row r="29" ht="13.5" customHeight="1" thickTop="1">
      <c r="B29" s="155" t="n"/>
      <c r="C29" s="156" t="n"/>
      <c r="D29" s="156" t="n"/>
      <c r="E29" s="156" t="n"/>
      <c r="F29" s="156" t="n"/>
      <c r="G29" s="157" t="n"/>
      <c r="H29" s="181">
        <f>IF(B29&lt;" ","",VLOOKUP(B29,#REF!,3,FALSE))</f>
        <v/>
      </c>
      <c r="I29" s="159" t="n">
        <v>0</v>
      </c>
      <c r="J29" s="160">
        <f>IF(G29&gt;0.01,G29*I29,0)</f>
        <v/>
      </c>
    </row>
    <row r="30">
      <c r="B30" s="161" t="n"/>
      <c r="C30" s="162" t="n"/>
      <c r="D30" s="162" t="n"/>
      <c r="E30" s="162" t="n"/>
      <c r="F30" s="162" t="n"/>
      <c r="G30" s="163" t="n"/>
      <c r="H30" s="182">
        <f>IF(B30&lt;" ","",VLOOKUP(B30,#REF!,3,FALSE))</f>
        <v/>
      </c>
      <c r="I30" s="165" t="n">
        <v>0</v>
      </c>
      <c r="J30" s="166">
        <f>IF(G30&gt;0.01,G30*I30,0)</f>
        <v/>
      </c>
    </row>
    <row r="31">
      <c r="B31" s="161" t="n"/>
      <c r="C31" s="162" t="n"/>
      <c r="D31" s="162" t="n"/>
      <c r="E31" s="162" t="n"/>
      <c r="F31" s="162" t="n"/>
      <c r="G31" s="163" t="n"/>
      <c r="H31" s="182">
        <f>IF(B31&lt;" ","",VLOOKUP(B31,#REF!,3,FALSE))</f>
        <v/>
      </c>
      <c r="I31" s="165" t="n">
        <v>0</v>
      </c>
      <c r="J31" s="166">
        <f>IF(G31&gt;0.01,G31*I31,0)</f>
        <v/>
      </c>
    </row>
    <row r="32">
      <c r="B32" s="161" t="n"/>
      <c r="C32" s="162" t="n"/>
      <c r="D32" s="162" t="n"/>
      <c r="E32" s="162" t="n"/>
      <c r="F32" s="162" t="n"/>
      <c r="G32" s="163" t="n"/>
      <c r="H32" s="182">
        <f>IF(B32&lt;" ","",VLOOKUP(B32,#REF!,3,FALSE))</f>
        <v/>
      </c>
      <c r="I32" s="165" t="n">
        <v>0</v>
      </c>
      <c r="J32" s="166">
        <f>IF(G32&gt;0.01,G32*I32,0)</f>
        <v/>
      </c>
    </row>
    <row r="33">
      <c r="B33" s="161" t="n"/>
      <c r="C33" s="162" t="n"/>
      <c r="D33" s="162" t="n"/>
      <c r="E33" s="162" t="n"/>
      <c r="F33" s="162" t="n"/>
      <c r="G33" s="163" t="n"/>
      <c r="H33" s="182">
        <f>IF(B33&lt;" ","",VLOOKUP(B33,#REF!,3,FALSE))</f>
        <v/>
      </c>
      <c r="I33" s="165" t="n">
        <v>0</v>
      </c>
      <c r="J33" s="166">
        <f>IF(G33&gt;0.01,G33*I33,0)</f>
        <v/>
      </c>
    </row>
    <row r="34">
      <c r="B34" s="161" t="n"/>
      <c r="C34" s="162" t="n"/>
      <c r="D34" s="162" t="n"/>
      <c r="E34" s="162" t="n"/>
      <c r="F34" s="162" t="n"/>
      <c r="G34" s="163" t="n"/>
      <c r="H34" s="182">
        <f>IF(B34&lt;" ","",VLOOKUP(B34,#REF!,3,FALSE))</f>
        <v/>
      </c>
      <c r="I34" s="165" t="n">
        <v>0</v>
      </c>
      <c r="J34" s="166">
        <f>IF(G34&gt;0.01,G34*I34,0)</f>
        <v/>
      </c>
    </row>
    <row r="35">
      <c r="B35" s="161" t="n"/>
      <c r="C35" s="162" t="n"/>
      <c r="D35" s="162" t="n"/>
      <c r="E35" s="162" t="n"/>
      <c r="F35" s="162" t="n"/>
      <c r="G35" s="163" t="n"/>
      <c r="H35" s="182">
        <f>IF(B35&lt;" ","",VLOOKUP(B35,#REF!,3,FALSE))</f>
        <v/>
      </c>
      <c r="I35" s="165" t="n">
        <v>0</v>
      </c>
      <c r="J35" s="166">
        <f>IF(G35&gt;0.01,G35*I35,0)</f>
        <v/>
      </c>
    </row>
    <row r="36">
      <c r="B36" s="161" t="n"/>
      <c r="C36" s="162" t="n"/>
      <c r="D36" s="162" t="n"/>
      <c r="E36" s="162" t="n"/>
      <c r="F36" s="162" t="n"/>
      <c r="G36" s="163" t="n"/>
      <c r="H36" s="182">
        <f>IF(B36&lt;" ","",VLOOKUP(B36,#REF!,3,FALSE))</f>
        <v/>
      </c>
      <c r="I36" s="165" t="n">
        <v>0</v>
      </c>
      <c r="J36" s="166">
        <f>IF(G36&gt;0.01,G36*I36,0)</f>
        <v/>
      </c>
    </row>
    <row r="37">
      <c r="B37" s="161" t="n"/>
      <c r="C37" s="162" t="n"/>
      <c r="D37" s="162" t="n"/>
      <c r="E37" s="162" t="n"/>
      <c r="F37" s="162" t="n"/>
      <c r="G37" s="163" t="n"/>
      <c r="H37" s="182">
        <f>IF(B37&lt;" ","",VLOOKUP(B37,#REF!,3,FALSE))</f>
        <v/>
      </c>
      <c r="I37" s="165" t="n">
        <v>0</v>
      </c>
      <c r="J37" s="166">
        <f>IF(G37&gt;0.01,G37*I37,0)</f>
        <v/>
      </c>
    </row>
    <row r="38">
      <c r="B38" s="161" t="n"/>
      <c r="C38" s="162" t="n"/>
      <c r="D38" s="162" t="n"/>
      <c r="E38" s="162" t="n"/>
      <c r="F38" s="162" t="n"/>
      <c r="G38" s="163" t="n"/>
      <c r="H38" s="182">
        <f>IF(B38&lt;" ","",VLOOKUP(B38,#REF!,3,FALSE))</f>
        <v/>
      </c>
      <c r="I38" s="165" t="n">
        <v>0</v>
      </c>
      <c r="J38" s="166">
        <f>IF(G38&gt;0.01,G38*I38,0)</f>
        <v/>
      </c>
    </row>
    <row r="39">
      <c r="B39" s="161" t="n"/>
      <c r="C39" s="162" t="n"/>
      <c r="D39" s="162" t="n"/>
      <c r="E39" s="162" t="n"/>
      <c r="F39" s="162" t="n"/>
      <c r="G39" s="163" t="n"/>
      <c r="H39" s="182">
        <f>IF(B39&lt;" ","",VLOOKUP(B39,#REF!,3,FALSE))</f>
        <v/>
      </c>
      <c r="I39" s="165" t="n">
        <v>0</v>
      </c>
      <c r="J39" s="166">
        <f>IF(G39&gt;0.01,G39*I39,0)</f>
        <v/>
      </c>
    </row>
    <row r="40">
      <c r="B40" s="161" t="n"/>
      <c r="C40" s="162" t="n"/>
      <c r="D40" s="162" t="n"/>
      <c r="E40" s="162" t="n"/>
      <c r="F40" s="162" t="n"/>
      <c r="G40" s="163" t="n"/>
      <c r="H40" s="182">
        <f>IF(B40&lt;" ","",VLOOKUP(B40,#REF!,3,FALSE))</f>
        <v/>
      </c>
      <c r="I40" s="165" t="n">
        <v>0</v>
      </c>
      <c r="J40" s="166">
        <f>IF(G40&gt;0.01,G40*I40,0)</f>
        <v/>
      </c>
    </row>
    <row r="41">
      <c r="B41" s="161" t="n"/>
      <c r="C41" s="162" t="n"/>
      <c r="D41" s="162" t="n"/>
      <c r="E41" s="162" t="n"/>
      <c r="F41" s="162" t="n"/>
      <c r="G41" s="163" t="n"/>
      <c r="H41" s="182">
        <f>IF(B41&lt;" ","",VLOOKUP(B41,#REF!,3,FALSE))</f>
        <v/>
      </c>
      <c r="I41" s="165" t="n">
        <v>0</v>
      </c>
      <c r="J41" s="166">
        <f>IF(G41&gt;0.01,G41*I41,0)</f>
        <v/>
      </c>
    </row>
    <row r="42">
      <c r="B42" s="161" t="n"/>
      <c r="C42" s="162" t="n"/>
      <c r="D42" s="162" t="n"/>
      <c r="E42" s="162" t="n"/>
      <c r="F42" s="162" t="n"/>
      <c r="G42" s="163" t="n"/>
      <c r="H42" s="182">
        <f>IF(B42&lt;" ","",VLOOKUP(B42,#REF!,3,FALSE))</f>
        <v/>
      </c>
      <c r="I42" s="165" t="n">
        <v>0</v>
      </c>
      <c r="J42" s="166">
        <f>IF(G42&gt;0.01,G42*I42,0)</f>
        <v/>
      </c>
    </row>
    <row r="43" ht="13.5" customHeight="1" thickBot="1">
      <c r="B43" s="167" t="n"/>
      <c r="C43" s="168" t="n"/>
      <c r="D43" s="168" t="n"/>
      <c r="E43" s="168" t="n"/>
      <c r="F43" s="168" t="n"/>
      <c r="G43" s="169" t="n"/>
      <c r="H43" s="183">
        <f>IF(B43&lt;" ","",VLOOKUP(B43,#REF!,3,FALSE))</f>
        <v/>
      </c>
      <c r="I43" s="171" t="n">
        <v>0</v>
      </c>
      <c r="J43" s="172">
        <f>IF(G43&gt;0.01,G43*I43,0)</f>
        <v/>
      </c>
    </row>
    <row r="44" ht="33" customHeight="1" thickBot="1" thickTop="1">
      <c r="B44" s="178" t="n"/>
      <c r="C44" s="178" t="n"/>
      <c r="D44" s="178" t="n"/>
      <c r="E44" s="178" t="n"/>
      <c r="F44" s="178" t="n"/>
      <c r="G44" s="178" t="n"/>
      <c r="H44" s="178" t="n"/>
      <c r="I44" s="179" t="inlineStr">
        <is>
          <t>TOTAL EQUIPMENT</t>
        </is>
      </c>
      <c r="J44" s="180">
        <f>ROUND(J29+J30+J31+J32+J33+J34+J35+J36+J37+J38+J39+J40+J41+J42+J43,2)</f>
        <v/>
      </c>
    </row>
    <row r="45" ht="13.5" customHeight="1" thickBot="1">
      <c r="B45" s="147" t="n"/>
      <c r="C45" s="136" t="n"/>
      <c r="D45" s="136" t="n"/>
      <c r="E45" s="136" t="n"/>
      <c r="F45" s="136" t="n"/>
      <c r="G45" s="136" t="n"/>
      <c r="H45" s="136" t="n"/>
      <c r="I45" s="136" t="n"/>
      <c r="J45" s="148" t="n"/>
    </row>
    <row r="46" ht="16.5" customHeight="1" thickBot="1">
      <c r="B46" s="147" t="n"/>
      <c r="C46" s="136" t="n"/>
      <c r="D46" s="136" t="n"/>
      <c r="E46" s="184" t="inlineStr">
        <is>
          <t>RENTAL EQUIPMENT</t>
        </is>
      </c>
      <c r="F46" s="184" t="n"/>
      <c r="G46" s="184" t="n"/>
      <c r="H46" s="136" t="n"/>
      <c r="I46" s="136" t="n"/>
      <c r="J46" s="148" t="n"/>
    </row>
    <row r="47" ht="16.5" customHeight="1" thickBot="1">
      <c r="B47" s="147" t="n"/>
      <c r="C47" s="184" t="inlineStr">
        <is>
          <t>MATERIAL &amp; MISCELLANEOUS LIST OF MATERIAL &amp; ATTACH SUPPORTING INVOICES</t>
        </is>
      </c>
      <c r="D47" s="136" t="n"/>
      <c r="E47" s="184" t="n"/>
      <c r="F47" s="184" t="n"/>
      <c r="G47" s="184" t="n"/>
      <c r="H47" s="136" t="n"/>
      <c r="I47" s="136" t="n"/>
      <c r="J47" s="148" t="n"/>
    </row>
    <row r="48" ht="17.25" customHeight="1" thickBot="1" thickTop="1">
      <c r="B48" s="152" t="inlineStr">
        <is>
          <t>QUANTITY</t>
        </is>
      </c>
      <c r="C48" s="153" t="inlineStr">
        <is>
          <t>DESCRIPTION</t>
        </is>
      </c>
      <c r="D48" s="136" t="n"/>
      <c r="E48" s="136" t="n"/>
      <c r="F48" s="153" t="inlineStr">
        <is>
          <t>AMOUNT</t>
        </is>
      </c>
      <c r="G48" s="137" t="inlineStr">
        <is>
          <t>QUANTITY</t>
        </is>
      </c>
      <c r="H48" s="137" t="inlineStr">
        <is>
          <t>DESCRIPTION</t>
        </is>
      </c>
      <c r="I48" s="136" t="n"/>
      <c r="J48" s="185" t="inlineStr">
        <is>
          <t>AMOUNT</t>
        </is>
      </c>
    </row>
    <row r="49" ht="13.5" customHeight="1" thickTop="1">
      <c r="B49" s="186" t="n"/>
      <c r="C49" s="187" t="n"/>
      <c r="D49" s="156" t="n"/>
      <c r="E49" s="156" t="n"/>
      <c r="F49" s="188" t="n"/>
      <c r="G49" s="158" t="n"/>
      <c r="H49" s="187" t="n"/>
      <c r="I49" s="156" t="n"/>
      <c r="J49" s="189" t="n"/>
    </row>
    <row r="50">
      <c r="B50" s="190" t="n"/>
      <c r="C50" s="191" t="n"/>
      <c r="D50" s="162" t="n"/>
      <c r="E50" s="162" t="n"/>
      <c r="F50" s="192">
        <f>C50*F49</f>
        <v/>
      </c>
      <c r="G50" s="164" t="n"/>
      <c r="H50" s="193" t="n"/>
      <c r="I50" s="162" t="n"/>
      <c r="J50" s="194">
        <f>J49*H50</f>
        <v/>
      </c>
    </row>
    <row r="51">
      <c r="B51" s="190" t="n"/>
      <c r="C51" s="163" t="inlineStr">
        <is>
          <t>Tax</t>
        </is>
      </c>
      <c r="D51" s="162" t="n"/>
      <c r="E51" s="162" t="n"/>
      <c r="F51" s="192" t="n"/>
      <c r="G51" s="164" t="n"/>
      <c r="H51" s="195" t="inlineStr">
        <is>
          <t>Tax</t>
        </is>
      </c>
      <c r="I51" s="162" t="n"/>
      <c r="J51" s="194" t="n"/>
    </row>
    <row r="52" ht="13.5" customHeight="1" thickBot="1">
      <c r="B52" s="190" t="n"/>
      <c r="C52" s="191" t="inlineStr">
        <is>
          <t>Total</t>
        </is>
      </c>
      <c r="D52" s="162" t="n"/>
      <c r="E52" s="162" t="n"/>
      <c r="F52" s="192">
        <f>SUM(F49:F51)</f>
        <v/>
      </c>
      <c r="G52" s="164" t="n"/>
      <c r="H52" s="191" t="inlineStr">
        <is>
          <t>Total</t>
        </is>
      </c>
      <c r="I52" s="162" t="n"/>
      <c r="J52" s="194">
        <f>SUM(J49:J51)</f>
        <v/>
      </c>
      <c r="K52" s="40" t="n"/>
    </row>
    <row r="53">
      <c r="B53" s="190" t="n"/>
      <c r="C53" s="195" t="n"/>
      <c r="D53" s="162" t="n"/>
      <c r="E53" s="162" t="n"/>
      <c r="F53" s="192" t="n"/>
      <c r="G53" s="164" t="n"/>
      <c r="H53" s="195" t="n"/>
      <c r="I53" s="162" t="n"/>
      <c r="J53" s="194" t="n"/>
    </row>
    <row r="54">
      <c r="B54" s="190" t="n"/>
      <c r="C54" s="191" t="n"/>
      <c r="D54" s="162" t="n"/>
      <c r="E54" s="162" t="n"/>
      <c r="F54" s="192">
        <f>C54*F53</f>
        <v/>
      </c>
      <c r="G54" s="164" t="n"/>
      <c r="H54" s="191" t="n"/>
      <c r="I54" s="162" t="n"/>
      <c r="J54" s="194">
        <f>H54*J53</f>
        <v/>
      </c>
    </row>
    <row r="55">
      <c r="B55" s="190" t="n"/>
      <c r="C55" s="195" t="inlineStr">
        <is>
          <t>Tax</t>
        </is>
      </c>
      <c r="D55" s="162" t="n"/>
      <c r="E55" s="162" t="n"/>
      <c r="F55" s="192" t="n"/>
      <c r="G55" s="164" t="n"/>
      <c r="H55" s="196" t="inlineStr">
        <is>
          <t>Tax</t>
        </is>
      </c>
      <c r="I55" s="162" t="n"/>
      <c r="J55" s="194" t="n"/>
    </row>
    <row r="56" ht="13.5" customHeight="1" thickBot="1">
      <c r="B56" s="190" t="n"/>
      <c r="C56" s="191" t="inlineStr">
        <is>
          <t>Total</t>
        </is>
      </c>
      <c r="D56" s="162" t="n"/>
      <c r="E56" s="162" t="n"/>
      <c r="F56" s="192">
        <f>SUM(F53:F55)</f>
        <v/>
      </c>
      <c r="G56" s="164" t="n"/>
      <c r="H56" s="195" t="inlineStr">
        <is>
          <t>Total</t>
        </is>
      </c>
      <c r="I56" s="162" t="n"/>
      <c r="J56" s="194">
        <f>SUM(J53:J55)</f>
        <v/>
      </c>
    </row>
    <row r="57">
      <c r="B57" s="190" t="n"/>
      <c r="C57" s="195" t="n"/>
      <c r="D57" s="162" t="n"/>
      <c r="E57" s="162" t="n"/>
      <c r="F57" s="192" t="n"/>
      <c r="G57" s="164" t="n"/>
      <c r="H57" s="195" t="n"/>
      <c r="I57" s="162" t="n"/>
      <c r="J57" s="194" t="n"/>
    </row>
    <row r="58">
      <c r="B58" s="190" t="n"/>
      <c r="C58" s="191" t="n"/>
      <c r="D58" s="162" t="n"/>
      <c r="E58" s="162" t="n"/>
      <c r="F58" s="192">
        <f>F57*C58</f>
        <v/>
      </c>
      <c r="G58" s="164" t="n"/>
      <c r="H58" s="191" t="n"/>
      <c r="I58" s="162" t="n"/>
      <c r="J58" s="194">
        <f>J57*H58</f>
        <v/>
      </c>
    </row>
    <row r="59">
      <c r="B59" s="190" t="n"/>
      <c r="C59" s="163" t="inlineStr">
        <is>
          <t>Tax</t>
        </is>
      </c>
      <c r="D59" s="162" t="n"/>
      <c r="E59" s="162" t="n"/>
      <c r="F59" s="192" t="n"/>
      <c r="G59" s="164" t="n"/>
      <c r="H59" s="195" t="inlineStr">
        <is>
          <t>Tax</t>
        </is>
      </c>
      <c r="I59" s="162" t="n"/>
      <c r="J59" s="194" t="n"/>
    </row>
    <row r="60" ht="13.5" customHeight="1" thickBot="1">
      <c r="B60" s="197" t="n"/>
      <c r="C60" s="169" t="inlineStr">
        <is>
          <t>Total</t>
        </is>
      </c>
      <c r="D60" s="168" t="n"/>
      <c r="E60" s="168" t="n"/>
      <c r="F60" s="198">
        <f>SUM(F57:F59)</f>
        <v/>
      </c>
      <c r="G60" s="170" t="n"/>
      <c r="H60" s="169" t="inlineStr">
        <is>
          <t>Total</t>
        </is>
      </c>
      <c r="I60" s="168" t="n"/>
      <c r="J60" s="199">
        <f>SUM(J57:J59)</f>
        <v/>
      </c>
    </row>
    <row r="61" ht="25.5" customHeight="1" thickBot="1" thickTop="1">
      <c r="B61" s="178" t="n"/>
      <c r="C61" s="178" t="n"/>
      <c r="D61" s="178" t="n"/>
      <c r="E61" s="178" t="n"/>
      <c r="F61" s="178" t="n"/>
      <c r="G61" s="178" t="n"/>
      <c r="H61" s="178" t="n"/>
      <c r="I61" s="179" t="inlineStr">
        <is>
          <t>TOTAL RENTAL EQUIPMENT</t>
        </is>
      </c>
      <c r="J61" s="180">
        <f>ROUND(F52+F56+F60+J52+J56+J60,2)</f>
        <v/>
      </c>
    </row>
    <row r="62" ht="21" customHeight="1" thickBot="1" thickTop="1">
      <c r="B62" s="178" t="n"/>
      <c r="C62" s="178" t="n"/>
      <c r="D62" s="178" t="n"/>
      <c r="E62" s="178" t="n"/>
      <c r="F62" s="178" t="n"/>
      <c r="G62" s="178" t="n"/>
      <c r="H62" s="178" t="n"/>
      <c r="I62" s="200" t="inlineStr">
        <is>
          <t>GRAND TOTAL</t>
        </is>
      </c>
      <c r="J62" s="180">
        <f>SUM(J61,J44,J25)</f>
        <v/>
      </c>
      <c r="K62" s="40" t="n"/>
      <c r="L62" s="40" t="n"/>
    </row>
    <row r="63" ht="36" customHeight="1">
      <c r="B63" s="201" t="inlineStr">
        <is>
          <t>ACCEPTED BY</t>
        </is>
      </c>
      <c r="C63" s="130" t="n"/>
      <c r="D63" s="202" t="inlineStr">
        <is>
          <t>DATE</t>
        </is>
      </c>
      <c r="E63" s="203" t="inlineStr">
        <is>
          <t>CERTIFIED AS CORRECT
BY CONTRACTORS'S REP</t>
        </is>
      </c>
      <c r="F63" s="130" t="n"/>
      <c r="G63" s="204" t="n"/>
      <c r="H63" s="130" t="n"/>
      <c r="I63" s="181" t="n"/>
      <c r="J63" s="205" t="n"/>
    </row>
    <row r="64" ht="29.25" customHeight="1" thickBot="1">
      <c r="B64" s="206" t="n"/>
      <c r="C64" s="162" t="n"/>
      <c r="D64" s="207" t="n"/>
      <c r="E64" s="208" t="n"/>
      <c r="F64" s="162" t="n"/>
      <c r="G64" s="207" t="n"/>
      <c r="H64" s="162" t="n"/>
      <c r="I64" s="208" t="n"/>
      <c r="J64" s="209" t="n"/>
    </row>
    <row r="65" ht="13.5" customHeight="1" thickTop="1">
      <c r="B65" s="210" t="n"/>
      <c r="C65" s="133" t="n"/>
      <c r="D65" s="133" t="n"/>
      <c r="E65" s="133" t="n"/>
      <c r="F65" s="133" t="n"/>
      <c r="G65" s="133" t="n"/>
      <c r="H65" s="133" t="n"/>
      <c r="I65" s="133" t="n"/>
      <c r="J65" s="134" t="n"/>
    </row>
  </sheetData>
  <mergeCells count="92">
    <mergeCell ref="D20:E20"/>
    <mergeCell ref="H53:I53"/>
    <mergeCell ref="B22:C22"/>
    <mergeCell ref="B1:J1"/>
    <mergeCell ref="D22:E22"/>
    <mergeCell ref="H55:I55"/>
    <mergeCell ref="E64:F64"/>
    <mergeCell ref="C51:E51"/>
    <mergeCell ref="B12:C12"/>
    <mergeCell ref="C60:E60"/>
    <mergeCell ref="B21:C21"/>
    <mergeCell ref="D13:E13"/>
    <mergeCell ref="B42:F42"/>
    <mergeCell ref="E63:F63"/>
    <mergeCell ref="B14:C14"/>
    <mergeCell ref="H52:I52"/>
    <mergeCell ref="B13:C13"/>
    <mergeCell ref="C57:E57"/>
    <mergeCell ref="B34:F34"/>
    <mergeCell ref="B28:F28"/>
    <mergeCell ref="C49:E49"/>
    <mergeCell ref="B37:F37"/>
    <mergeCell ref="B30:F30"/>
    <mergeCell ref="B24:C24"/>
    <mergeCell ref="B64:C64"/>
    <mergeCell ref="D24:E24"/>
    <mergeCell ref="B27:J27"/>
    <mergeCell ref="B63:C63"/>
    <mergeCell ref="B2:J2"/>
    <mergeCell ref="B16:C16"/>
    <mergeCell ref="D10:E10"/>
    <mergeCell ref="B3:C3"/>
    <mergeCell ref="D19:E19"/>
    <mergeCell ref="H54:I54"/>
    <mergeCell ref="E5:F5"/>
    <mergeCell ref="H50:I50"/>
    <mergeCell ref="B18:C18"/>
    <mergeCell ref="C59:E59"/>
    <mergeCell ref="H56:I56"/>
    <mergeCell ref="B43:F43"/>
    <mergeCell ref="B11:C11"/>
    <mergeCell ref="C52:E52"/>
    <mergeCell ref="D11:E11"/>
    <mergeCell ref="H49:I49"/>
    <mergeCell ref="C48:E48"/>
    <mergeCell ref="D9:E9"/>
    <mergeCell ref="B7:J7"/>
    <mergeCell ref="B15:C15"/>
    <mergeCell ref="D15:E15"/>
    <mergeCell ref="H48:I48"/>
    <mergeCell ref="D23:E23"/>
    <mergeCell ref="C50:E50"/>
    <mergeCell ref="C55:E55"/>
    <mergeCell ref="B31:F31"/>
    <mergeCell ref="H58:I58"/>
    <mergeCell ref="B39:F39"/>
    <mergeCell ref="H60:I60"/>
    <mergeCell ref="B17:C17"/>
    <mergeCell ref="D17:E17"/>
    <mergeCell ref="B19:C19"/>
    <mergeCell ref="H57:I57"/>
    <mergeCell ref="B9:C9"/>
    <mergeCell ref="D3:E3"/>
    <mergeCell ref="G64:H64"/>
    <mergeCell ref="D12:E12"/>
    <mergeCell ref="B20:C20"/>
    <mergeCell ref="G63:H63"/>
    <mergeCell ref="D14:E14"/>
    <mergeCell ref="B36:F36"/>
    <mergeCell ref="B4:C4"/>
    <mergeCell ref="C54:E54"/>
    <mergeCell ref="B8:J8"/>
    <mergeCell ref="C56:E56"/>
    <mergeCell ref="D21:E21"/>
    <mergeCell ref="F3:G3"/>
    <mergeCell ref="H59:I59"/>
    <mergeCell ref="B23:C23"/>
    <mergeCell ref="H51:I51"/>
    <mergeCell ref="D16:E16"/>
    <mergeCell ref="B29:F29"/>
    <mergeCell ref="B38:F38"/>
    <mergeCell ref="C53:E53"/>
    <mergeCell ref="B10:C10"/>
    <mergeCell ref="G5:H5"/>
    <mergeCell ref="D18:E18"/>
    <mergeCell ref="D4:H4"/>
    <mergeCell ref="B40:F40"/>
    <mergeCell ref="C58:E58"/>
    <mergeCell ref="B33:F33"/>
    <mergeCell ref="B32:F32"/>
    <mergeCell ref="B41:F41"/>
    <mergeCell ref="B35:F35"/>
  </mergeCells>
  <dataValidations count="2">
    <dataValidation sqref="B10:C24 B65546:C65560 B131082:C131096 B196618:C196632 B262154:C262168 B327690:C327704 B393226:C393240 B458762:C458776 B524298:C524312 B589834:C589848 B655370:C655384 B720906:C720920 B786442:C786456 B851978:C851992 B917514:C917528 B983050:C983064 IX10:IY24 IX65546:IY65560 IX131082:IY131096 IX196618:IY196632 IX262154:IY262168 IX327690:IY327704 IX393226:IY393240 IX458762:IY458776 IX524298:IY524312 IX589834:IY589848 IX655370:IY655384 IX720906:IY720920 IX786442:IY786456 IX851978:IY851992 IX917514:IY917528 IX983050:IY983064 ST10:SU24 ST65546:SU65560 ST131082:SU131096 ST196618:SU196632 ST262154:SU262168 ST327690:SU327704 ST393226:SU393240 ST458762:SU458776 ST524298:SU524312 ST589834:SU589848 ST655370:SU655384 ST720906:SU720920 ST786442:SU786456 ST851978:SU851992 ST917514:SU917528 ST983050:SU983064 ACP10:ACQ24 ACP65546:ACQ65560 ACP131082:ACQ131096 ACP196618:ACQ196632 ACP262154:ACQ262168 ACP327690:ACQ327704 ACP393226:ACQ393240 ACP458762:ACQ458776 ACP524298:ACQ524312 ACP589834:ACQ589848 ACP655370:ACQ655384 ACP720906:ACQ720920 ACP786442:ACQ786456 ACP851978:ACQ851992 ACP917514:ACQ917528 ACP983050:ACQ983064 AML10:AMM24 AML65546:AMM65560 AML131082:AMM131096 AML196618:AMM196632 AML262154:AMM262168 AML327690:AMM327704 AML393226:AMM393240 AML458762:AMM458776 AML524298:AMM524312 AML589834:AMM589848 AML655370:AMM655384 AML720906:AMM720920 AML786442:AMM786456 AML851978:AMM851992 AML917514:AMM917528 AML983050:AMM983064 AWH10:AWI24 AWH65546:AWI65560 AWH131082:AWI131096 AWH196618:AWI196632 AWH262154:AWI262168 AWH327690:AWI327704 AWH393226:AWI393240 AWH458762:AWI458776 AWH524298:AWI524312 AWH589834:AWI589848 AWH655370:AWI655384 AWH720906:AWI720920 AWH786442:AWI786456 AWH851978:AWI851992 AWH917514:AWI917528 AWH983050:AWI983064 BGD10:BGE24 BGD65546:BGE65560 BGD131082:BGE131096 BGD196618:BGE196632 BGD262154:BGE262168 BGD327690:BGE327704 BGD393226:BGE393240 BGD458762:BGE458776 BGD524298:BGE524312 BGD589834:BGE589848 BGD655370:BGE655384 BGD720906:BGE720920 BGD786442:BGE786456 BGD851978:BGE851992 BGD917514:BGE917528 BGD983050:BGE983064 BPZ10:BQA24 BPZ65546:BQA65560 BPZ131082:BQA131096 BPZ196618:BQA196632 BPZ262154:BQA262168 BPZ327690:BQA327704 BPZ393226:BQA393240 BPZ458762:BQA458776 BPZ524298:BQA524312 BPZ589834:BQA589848 BPZ655370:BQA655384 BPZ720906:BQA720920 BPZ786442:BQA786456 BPZ851978:BQA851992 BPZ917514:BQA917528 BPZ983050:BQA983064 BZV10:BZW24 BZV65546:BZW65560 BZV131082:BZW131096 BZV196618:BZW196632 BZV262154:BZW262168 BZV327690:BZW327704 BZV393226:BZW393240 BZV458762:BZW458776 BZV524298:BZW524312 BZV589834:BZW589848 BZV655370:BZW655384 BZV720906:BZW720920 BZV786442:BZW786456 BZV851978:BZW851992 BZV917514:BZW917528 BZV983050:BZW983064 CJR10:CJS24 CJR65546:CJS65560 CJR131082:CJS131096 CJR196618:CJS196632 CJR262154:CJS262168 CJR327690:CJS327704 CJR393226:CJS393240 CJR458762:CJS458776 CJR524298:CJS524312 CJR589834:CJS589848 CJR655370:CJS655384 CJR720906:CJS720920 CJR786442:CJS786456 CJR851978:CJS851992 CJR917514:CJS917528 CJR983050:CJS983064 CTN10:CTO24 CTN65546:CTO65560 CTN131082:CTO131096 CTN196618:CTO196632 CTN262154:CTO262168 CTN327690:CTO327704 CTN393226:CTO393240 CTN458762:CTO458776 CTN524298:CTO524312 CTN589834:CTO589848 CTN655370:CTO655384 CTN720906:CTO720920 CTN786442:CTO786456 CTN851978:CTO851992 CTN917514:CTO917528 CTN983050:CTO983064 DDJ10:DDK24 DDJ65546:DDK65560 DDJ131082:DDK131096 DDJ196618:DDK196632 DDJ262154:DDK262168 DDJ327690:DDK327704 DDJ393226:DDK393240 DDJ458762:DDK458776 DDJ524298:DDK524312 DDJ589834:DDK589848 DDJ655370:DDK655384 DDJ720906:DDK720920 DDJ786442:DDK786456 DDJ851978:DDK851992 DDJ917514:DDK917528 DDJ983050:DDK983064 DNF10:DNG24 DNF65546:DNG65560 DNF131082:DNG131096 DNF196618:DNG196632 DNF262154:DNG262168 DNF327690:DNG327704 DNF393226:DNG393240 DNF458762:DNG458776 DNF524298:DNG524312 DNF589834:DNG589848 DNF655370:DNG655384 DNF720906:DNG720920 DNF786442:DNG786456 DNF851978:DNG851992 DNF917514:DNG917528 DNF983050:DNG983064 DXB10:DXC24 DXB65546:DXC65560 DXB131082:DXC131096 DXB196618:DXC196632 DXB262154:DXC262168 DXB327690:DXC327704 DXB393226:DXC393240 DXB458762:DXC458776 DXB524298:DXC524312 DXB589834:DXC589848 DXB655370:DXC655384 DXB720906:DXC720920 DXB786442:DXC786456 DXB851978:DXC851992 DXB917514:DXC917528 DXB983050:DXC983064 EGX10:EGY24 EGX65546:EGY65560 EGX131082:EGY131096 EGX196618:EGY196632 EGX262154:EGY262168 EGX327690:EGY327704 EGX393226:EGY393240 EGX458762:EGY458776 EGX524298:EGY524312 EGX589834:EGY589848 EGX655370:EGY655384 EGX720906:EGY720920 EGX786442:EGY786456 EGX851978:EGY851992 EGX917514:EGY917528 EGX983050:EGY983064 EQT10:EQU24 EQT65546:EQU65560 EQT131082:EQU131096 EQT196618:EQU196632 EQT262154:EQU262168 EQT327690:EQU327704 EQT393226:EQU393240 EQT458762:EQU458776 EQT524298:EQU524312 EQT589834:EQU589848 EQT655370:EQU655384 EQT720906:EQU720920 EQT786442:EQU786456 EQT851978:EQU851992 EQT917514:EQU917528 EQT983050:EQU983064 FAP10:FAQ24 FAP65546:FAQ65560 FAP131082:FAQ131096 FAP196618:FAQ196632 FAP262154:FAQ262168 FAP327690:FAQ327704 FAP393226:FAQ393240 FAP458762:FAQ458776 FAP524298:FAQ524312 FAP589834:FAQ589848 FAP655370:FAQ655384 FAP720906:FAQ720920 FAP786442:FAQ786456 FAP851978:FAQ851992 FAP917514:FAQ917528 FAP983050:FAQ983064 FKL10:FKM24 FKL65546:FKM65560 FKL131082:FKM131096 FKL196618:FKM196632 FKL262154:FKM262168 FKL327690:FKM327704 FKL393226:FKM393240 FKL458762:FKM458776 FKL524298:FKM524312 FKL589834:FKM589848 FKL655370:FKM655384 FKL720906:FKM720920 FKL786442:FKM786456 FKL851978:FKM851992 FKL917514:FKM917528 FKL983050:FKM983064 FUH10:FUI24 FUH65546:FUI65560 FUH131082:FUI131096 FUH196618:FUI196632 FUH262154:FUI262168 FUH327690:FUI327704 FUH393226:FUI393240 FUH458762:FUI458776 FUH524298:FUI524312 FUH589834:FUI589848 FUH655370:FUI655384 FUH720906:FUI720920 FUH786442:FUI786456 FUH851978:FUI851992 FUH917514:FUI917528 FUH983050:FUI983064 GED10:GEE24 GED65546:GEE65560 GED131082:GEE131096 GED196618:GEE196632 GED262154:GEE262168 GED327690:GEE327704 GED393226:GEE393240 GED458762:GEE458776 GED524298:GEE524312 GED589834:GEE589848 GED655370:GEE655384 GED720906:GEE720920 GED786442:GEE786456 GED851978:GEE851992 GED917514:GEE917528 GED983050:GEE983064 GNZ10:GOA24 GNZ65546:GOA65560 GNZ131082:GOA131096 GNZ196618:GOA196632 GNZ262154:GOA262168 GNZ327690:GOA327704 GNZ393226:GOA393240 GNZ458762:GOA458776 GNZ524298:GOA524312 GNZ589834:GOA589848 GNZ655370:GOA655384 GNZ720906:GOA720920 GNZ786442:GOA786456 GNZ851978:GOA851992 GNZ917514:GOA917528 GNZ983050:GOA983064 GXV10:GXW24 GXV65546:GXW65560 GXV131082:GXW131096 GXV196618:GXW196632 GXV262154:GXW262168 GXV327690:GXW327704 GXV393226:GXW393240 GXV458762:GXW458776 GXV524298:GXW524312 GXV589834:GXW589848 GXV655370:GXW655384 GXV720906:GXW720920 GXV786442:GXW786456 GXV851978:GXW851992 GXV917514:GXW917528 GXV983050:GXW983064 HHR10:HHS24 HHR65546:HHS65560 HHR131082:HHS131096 HHR196618:HHS196632 HHR262154:HHS262168 HHR327690:HHS327704 HHR393226:HHS393240 HHR458762:HHS458776 HHR524298:HHS524312 HHR589834:HHS589848 HHR655370:HHS655384 HHR720906:HHS720920 HHR786442:HHS786456 HHR851978:HHS851992 HHR917514:HHS917528 HHR983050:HHS983064 HRN10:HRO24 HRN65546:HRO65560 HRN131082:HRO131096 HRN196618:HRO196632 HRN262154:HRO262168 HRN327690:HRO327704 HRN393226:HRO393240 HRN458762:HRO458776 HRN524298:HRO524312 HRN589834:HRO589848 HRN655370:HRO655384 HRN720906:HRO720920 HRN786442:HRO786456 HRN851978:HRO851992 HRN917514:HRO917528 HRN983050:HRO983064 IBJ10:IBK24 IBJ65546:IBK65560 IBJ131082:IBK131096 IBJ196618:IBK196632 IBJ262154:IBK262168 IBJ327690:IBK327704 IBJ393226:IBK393240 IBJ458762:IBK458776 IBJ524298:IBK524312 IBJ589834:IBK589848 IBJ655370:IBK655384 IBJ720906:IBK720920 IBJ786442:IBK786456 IBJ851978:IBK851992 IBJ917514:IBK917528 IBJ983050:IBK983064 ILF10:ILG24 ILF65546:ILG65560 ILF131082:ILG131096 ILF196618:ILG196632 ILF262154:ILG262168 ILF327690:ILG327704 ILF393226:ILG393240 ILF458762:ILG458776 ILF524298:ILG524312 ILF589834:ILG589848 ILF655370:ILG655384 ILF720906:ILG720920 ILF786442:ILG786456 ILF851978:ILG851992 ILF917514:ILG917528 ILF983050:ILG983064 IVB10:IVC24 IVB65546:IVC65560 IVB131082:IVC131096 IVB196618:IVC196632 IVB262154:IVC262168 IVB327690:IVC327704 IVB393226:IVC393240 IVB458762:IVC458776 IVB524298:IVC524312 IVB589834:IVC589848 IVB655370:IVC655384 IVB720906:IVC720920 IVB786442:IVC786456 IVB851978:IVC851992 IVB917514:IVC917528 IVB983050:IVC983064 JEX10:JEY24 JEX65546:JEY65560 JEX131082:JEY131096 JEX196618:JEY196632 JEX262154:JEY262168 JEX327690:JEY327704 JEX393226:JEY393240 JEX458762:JEY458776 JEX524298:JEY524312 JEX589834:JEY589848 JEX655370:JEY655384 JEX720906:JEY720920 JEX786442:JEY786456 JEX851978:JEY851992 JEX917514:JEY917528 JEX983050:JEY983064 JOT10:JOU24 JOT65546:JOU65560 JOT131082:JOU131096 JOT196618:JOU196632 JOT262154:JOU262168 JOT327690:JOU327704 JOT393226:JOU393240 JOT458762:JOU458776 JOT524298:JOU524312 JOT589834:JOU589848 JOT655370:JOU655384 JOT720906:JOU720920 JOT786442:JOU786456 JOT851978:JOU851992 JOT917514:JOU917528 JOT983050:JOU983064 JYP10:JYQ24 JYP65546:JYQ65560 JYP131082:JYQ131096 JYP196618:JYQ196632 JYP262154:JYQ262168 JYP327690:JYQ327704 JYP393226:JYQ393240 JYP458762:JYQ458776 JYP524298:JYQ524312 JYP589834:JYQ589848 JYP655370:JYQ655384 JYP720906:JYQ720920 JYP786442:JYQ786456 JYP851978:JYQ851992 JYP917514:JYQ917528 JYP983050:JYQ983064 KIL10:KIM24 KIL65546:KIM65560 KIL131082:KIM131096 KIL196618:KIM196632 KIL262154:KIM262168 KIL327690:KIM327704 KIL393226:KIM393240 KIL458762:KIM458776 KIL524298:KIM524312 KIL589834:KIM589848 KIL655370:KIM655384 KIL720906:KIM720920 KIL786442:KIM786456 KIL851978:KIM851992 KIL917514:KIM917528 KIL983050:KIM983064 KSH10:KSI24 KSH65546:KSI65560 KSH131082:KSI131096 KSH196618:KSI196632 KSH262154:KSI262168 KSH327690:KSI327704 KSH393226:KSI393240 KSH458762:KSI458776 KSH524298:KSI524312 KSH589834:KSI589848 KSH655370:KSI655384 KSH720906:KSI720920 KSH786442:KSI786456 KSH851978:KSI851992 KSH917514:KSI917528 KSH983050:KSI983064 LCD10:LCE24 LCD65546:LCE65560 LCD131082:LCE131096 LCD196618:LCE196632 LCD262154:LCE262168 LCD327690:LCE327704 LCD393226:LCE393240 LCD458762:LCE458776 LCD524298:LCE524312 LCD589834:LCE589848 LCD655370:LCE655384 LCD720906:LCE720920 LCD786442:LCE786456 LCD851978:LCE851992 LCD917514:LCE917528 LCD983050:LCE983064 LLZ10:LMA24 LLZ65546:LMA65560 LLZ131082:LMA131096 LLZ196618:LMA196632 LLZ262154:LMA262168 LLZ327690:LMA327704 LLZ393226:LMA393240 LLZ458762:LMA458776 LLZ524298:LMA524312 LLZ589834:LMA589848 LLZ655370:LMA655384 LLZ720906:LMA720920 LLZ786442:LMA786456 LLZ851978:LMA851992 LLZ917514:LMA917528 LLZ983050:LMA983064 LVV10:LVW24 LVV65546:LVW65560 LVV131082:LVW131096 LVV196618:LVW196632 LVV262154:LVW262168 LVV327690:LVW327704 LVV393226:LVW393240 LVV458762:LVW458776 LVV524298:LVW524312 LVV589834:LVW589848 LVV655370:LVW655384 LVV720906:LVW720920 LVV786442:LVW786456 LVV851978:LVW851992 LVV917514:LVW917528 LVV983050:LVW983064 MFR10:MFS24 MFR65546:MFS65560 MFR131082:MFS131096 MFR196618:MFS196632 MFR262154:MFS262168 MFR327690:MFS327704 MFR393226:MFS393240 MFR458762:MFS458776 MFR524298:MFS524312 MFR589834:MFS589848 MFR655370:MFS655384 MFR720906:MFS720920 MFR786442:MFS786456 MFR851978:MFS851992 MFR917514:MFS917528 MFR983050:MFS983064 MPN10:MPO24 MPN65546:MPO65560 MPN131082:MPO131096 MPN196618:MPO196632 MPN262154:MPO262168 MPN327690:MPO327704 MPN393226:MPO393240 MPN458762:MPO458776 MPN524298:MPO524312 MPN589834:MPO589848 MPN655370:MPO655384 MPN720906:MPO720920 MPN786442:MPO786456 MPN851978:MPO851992 MPN917514:MPO917528 MPN983050:MPO983064 MZJ10:MZK24 MZJ65546:MZK65560 MZJ131082:MZK131096 MZJ196618:MZK196632 MZJ262154:MZK262168 MZJ327690:MZK327704 MZJ393226:MZK393240 MZJ458762:MZK458776 MZJ524298:MZK524312 MZJ589834:MZK589848 MZJ655370:MZK655384 MZJ720906:MZK720920 MZJ786442:MZK786456 MZJ851978:MZK851992 MZJ917514:MZK917528 MZJ983050:MZK983064 NJF10:NJG24 NJF65546:NJG65560 NJF131082:NJG131096 NJF196618:NJG196632 NJF262154:NJG262168 NJF327690:NJG327704 NJF393226:NJG393240 NJF458762:NJG458776 NJF524298:NJG524312 NJF589834:NJG589848 NJF655370:NJG655384 NJF720906:NJG720920 NJF786442:NJG786456 NJF851978:NJG851992 NJF917514:NJG917528 NJF983050:NJG983064 NTB10:NTC24 NTB65546:NTC65560 NTB131082:NTC131096 NTB196618:NTC196632 NTB262154:NTC262168 NTB327690:NTC327704 NTB393226:NTC393240 NTB458762:NTC458776 NTB524298:NTC524312 NTB589834:NTC589848 NTB655370:NTC655384 NTB720906:NTC720920 NTB786442:NTC786456 NTB851978:NTC851992 NTB917514:NTC917528 NTB983050:NTC983064 OCX10:OCY24 OCX65546:OCY65560 OCX131082:OCY131096 OCX196618:OCY196632 OCX262154:OCY262168 OCX327690:OCY327704 OCX393226:OCY393240 OCX458762:OCY458776 OCX524298:OCY524312 OCX589834:OCY589848 OCX655370:OCY655384 OCX720906:OCY720920 OCX786442:OCY786456 OCX851978:OCY851992 OCX917514:OCY917528 OCX983050:OCY983064 OMT10:OMU24 OMT65546:OMU65560 OMT131082:OMU131096 OMT196618:OMU196632 OMT262154:OMU262168 OMT327690:OMU327704 OMT393226:OMU393240 OMT458762:OMU458776 OMT524298:OMU524312 OMT589834:OMU589848 OMT655370:OMU655384 OMT720906:OMU720920 OMT786442:OMU786456 OMT851978:OMU851992 OMT917514:OMU917528 OMT983050:OMU983064 OWP10:OWQ24 OWP65546:OWQ65560 OWP131082:OWQ131096 OWP196618:OWQ196632 OWP262154:OWQ262168 OWP327690:OWQ327704 OWP393226:OWQ393240 OWP458762:OWQ458776 OWP524298:OWQ524312 OWP589834:OWQ589848 OWP655370:OWQ655384 OWP720906:OWQ720920 OWP786442:OWQ786456 OWP851978:OWQ851992 OWP917514:OWQ917528 OWP983050:OWQ983064 PGL10:PGM24 PGL65546:PGM65560 PGL131082:PGM131096 PGL196618:PGM196632 PGL262154:PGM262168 PGL327690:PGM327704 PGL393226:PGM393240 PGL458762:PGM458776 PGL524298:PGM524312 PGL589834:PGM589848 PGL655370:PGM655384 PGL720906:PGM720920 PGL786442:PGM786456 PGL851978:PGM851992 PGL917514:PGM917528 PGL983050:PGM983064 PQH10:PQI24 PQH65546:PQI65560 PQH131082:PQI131096 PQH196618:PQI196632 PQH262154:PQI262168 PQH327690:PQI327704 PQH393226:PQI393240 PQH458762:PQI458776 PQH524298:PQI524312 PQH589834:PQI589848 PQH655370:PQI655384 PQH720906:PQI720920 PQH786442:PQI786456 PQH851978:PQI851992 PQH917514:PQI917528 PQH983050:PQI983064 QAD10:QAE24 QAD65546:QAE65560 QAD131082:QAE131096 QAD196618:QAE196632 QAD262154:QAE262168 QAD327690:QAE327704 QAD393226:QAE393240 QAD458762:QAE458776 QAD524298:QAE524312 QAD589834:QAE589848 QAD655370:QAE655384 QAD720906:QAE720920 QAD786442:QAE786456 QAD851978:QAE851992 QAD917514:QAE917528 QAD983050:QAE983064 QJZ10:QKA24 QJZ65546:QKA65560 QJZ131082:QKA131096 QJZ196618:QKA196632 QJZ262154:QKA262168 QJZ327690:QKA327704 QJZ393226:QKA393240 QJZ458762:QKA458776 QJZ524298:QKA524312 QJZ589834:QKA589848 QJZ655370:QKA655384 QJZ720906:QKA720920 QJZ786442:QKA786456 QJZ851978:QKA851992 QJZ917514:QKA917528 QJZ983050:QKA983064 QTV10:QTW24 QTV65546:QTW65560 QTV131082:QTW131096 QTV196618:QTW196632 QTV262154:QTW262168 QTV327690:QTW327704 QTV393226:QTW393240 QTV458762:QTW458776 QTV524298:QTW524312 QTV589834:QTW589848 QTV655370:QTW655384 QTV720906:QTW720920 QTV786442:QTW786456 QTV851978:QTW851992 QTV917514:QTW917528 QTV983050:QTW983064 RDR10:RDS24 RDR65546:RDS65560 RDR131082:RDS131096 RDR196618:RDS196632 RDR262154:RDS262168 RDR327690:RDS327704 RDR393226:RDS393240 RDR458762:RDS458776 RDR524298:RDS524312 RDR589834:RDS589848 RDR655370:RDS655384 RDR720906:RDS720920 RDR786442:RDS786456 RDR851978:RDS851992 RDR917514:RDS917528 RDR983050:RDS983064 RNN10:RNO24 RNN65546:RNO65560 RNN131082:RNO131096 RNN196618:RNO196632 RNN262154:RNO262168 RNN327690:RNO327704 RNN393226:RNO393240 RNN458762:RNO458776 RNN524298:RNO524312 RNN589834:RNO589848 RNN655370:RNO655384 RNN720906:RNO720920 RNN786442:RNO786456 RNN851978:RNO851992 RNN917514:RNO917528 RNN983050:RNO983064 RXJ10:RXK24 RXJ65546:RXK65560 RXJ131082:RXK131096 RXJ196618:RXK196632 RXJ262154:RXK262168 RXJ327690:RXK327704 RXJ393226:RXK393240 RXJ458762:RXK458776 RXJ524298:RXK524312 RXJ589834:RXK589848 RXJ655370:RXK655384 RXJ720906:RXK720920 RXJ786442:RXK786456 RXJ851978:RXK851992 RXJ917514:RXK917528 RXJ983050:RXK983064 SHF10:SHG24 SHF65546:SHG65560 SHF131082:SHG131096 SHF196618:SHG196632 SHF262154:SHG262168 SHF327690:SHG327704 SHF393226:SHG393240 SHF458762:SHG458776 SHF524298:SHG524312 SHF589834:SHG589848 SHF655370:SHG655384 SHF720906:SHG720920 SHF786442:SHG786456 SHF851978:SHG851992 SHF917514:SHG917528 SHF983050:SHG983064 SRB10:SRC24 SRB65546:SRC65560 SRB131082:SRC131096 SRB196618:SRC196632 SRB262154:SRC262168 SRB327690:SRC327704 SRB393226:SRC393240 SRB458762:SRC458776 SRB524298:SRC524312 SRB589834:SRC589848 SRB655370:SRC655384 SRB720906:SRC720920 SRB786442:SRC786456 SRB851978:SRC851992 SRB917514:SRC917528 SRB983050:SRC983064 TAX10:TAY24 TAX65546:TAY65560 TAX131082:TAY131096 TAX196618:TAY196632 TAX262154:TAY262168 TAX327690:TAY327704 TAX393226:TAY393240 TAX458762:TAY458776 TAX524298:TAY524312 TAX589834:TAY589848 TAX655370:TAY655384 TAX720906:TAY720920 TAX786442:TAY786456 TAX851978:TAY851992 TAX917514:TAY917528 TAX983050:TAY983064 TKT10:TKU24 TKT65546:TKU65560 TKT131082:TKU131096 TKT196618:TKU196632 TKT262154:TKU262168 TKT327690:TKU327704 TKT393226:TKU393240 TKT458762:TKU458776 TKT524298:TKU524312 TKT589834:TKU589848 TKT655370:TKU655384 TKT720906:TKU720920 TKT786442:TKU786456 TKT851978:TKU851992 TKT917514:TKU917528 TKT983050:TKU983064 TUP10:TUQ24 TUP65546:TUQ65560 TUP131082:TUQ131096 TUP196618:TUQ196632 TUP262154:TUQ262168 TUP327690:TUQ327704 TUP393226:TUQ393240 TUP458762:TUQ458776 TUP524298:TUQ524312 TUP589834:TUQ589848 TUP655370:TUQ655384 TUP720906:TUQ720920 TUP786442:TUQ786456 TUP851978:TUQ851992 TUP917514:TUQ917528 TUP983050:TUQ983064 UEL10:UEM24 UEL65546:UEM65560 UEL131082:UEM131096 UEL196618:UEM196632 UEL262154:UEM262168 UEL327690:UEM327704 UEL393226:UEM393240 UEL458762:UEM458776 UEL524298:UEM524312 UEL589834:UEM589848 UEL655370:UEM655384 UEL720906:UEM720920 UEL786442:UEM786456 UEL851978:UEM851992 UEL917514:UEM917528 UEL983050:UEM983064 UOH10:UOI24 UOH65546:UOI65560 UOH131082:UOI131096 UOH196618:UOI196632 UOH262154:UOI262168 UOH327690:UOI327704 UOH393226:UOI393240 UOH458762:UOI458776 UOH524298:UOI524312 UOH589834:UOI589848 UOH655370:UOI655384 UOH720906:UOI720920 UOH786442:UOI786456 UOH851978:UOI851992 UOH917514:UOI917528 UOH983050:UOI983064 UYD10:UYE24 UYD65546:UYE65560 UYD131082:UYE131096 UYD196618:UYE196632 UYD262154:UYE262168 UYD327690:UYE327704 UYD393226:UYE393240 UYD458762:UYE458776 UYD524298:UYE524312 UYD589834:UYE589848 UYD655370:UYE655384 UYD720906:UYE720920 UYD786442:UYE786456 UYD851978:UYE851992 UYD917514:UYE917528 UYD983050:UYE983064 VHZ10:VIA24 VHZ65546:VIA65560 VHZ131082:VIA131096 VHZ196618:VIA196632 VHZ262154:VIA262168 VHZ327690:VIA327704 VHZ393226:VIA393240 VHZ458762:VIA458776 VHZ524298:VIA524312 VHZ589834:VIA589848 VHZ655370:VIA655384 VHZ720906:VIA720920 VHZ786442:VIA786456 VHZ851978:VIA851992 VHZ917514:VIA917528 VHZ983050:VIA983064 VRV10:VRW24 VRV65546:VRW65560 VRV131082:VRW131096 VRV196618:VRW196632 VRV262154:VRW262168 VRV327690:VRW327704 VRV393226:VRW393240 VRV458762:VRW458776 VRV524298:VRW524312 VRV589834:VRW589848 VRV655370:VRW655384 VRV720906:VRW720920 VRV786442:VRW786456 VRV851978:VRW851992 VRV917514:VRW917528 VRV983050:VRW983064 WBR10:WBS24 WBR65546:WBS65560 WBR131082:WBS131096 WBR196618:WBS196632 WBR262154:WBS262168 WBR327690:WBS327704 WBR393226:WBS393240 WBR458762:WBS458776 WBR524298:WBS524312 WBR589834:WBS589848 WBR655370:WBS655384 WBR720906:WBS720920 WBR786442:WBS786456 WBR851978:WBS851992 WBR917514:WBS917528 WBR983050:WBS983064 WLN10:WLO24 WLN65546:WLO65560 WLN131082:WLO131096 WLN196618:WLO196632 WLN262154:WLO262168 WLN327690:WLO327704 WLN393226:WLO393240 WLN458762:WLO458776 WLN524298:WLO524312 WLN589834:WLO589848 WLN655370:WLO655384 WLN720906:WLO720920 WLN786442:WLO786456 WLN851978:WLO851992 WLN917514:WLO917528 WLN983050:WLO983064 WVJ10:WVK24 WVJ65546:WVK65560 WVJ131082:WVK131096 WVJ196618:WVK196632 WVJ262154:WVK262168 WVJ327690:WVK327704 WVJ393226:WVK393240 WVJ458762:WVK458776 WVJ524298:WVK524312 WVJ589834:WVK589848 WVJ655370:WVK655384 WVJ720906:WVK720920 WVJ786442:WVK786456 WVJ851978:WVK851992 WVJ917514:WVK917528 WVJ983050:WVK983064" showDropDown="0" showInputMessage="1" showErrorMessage="1" allowBlank="1" type="list">
      <formula1>ListCol3</formula1>
    </dataValidation>
    <dataValidation sqref="D10:E24 D65546:E65560 D131082:E131096 D196618:E196632 D262154:E262168 D327690:E327704 D393226:E393240 D458762:E458776 D524298:E524312 D589834:E589848 D655370:E655384 D720906:E720920 D786442:E786456 D851978:E851992 D917514:E917528 D983050:E983064 IZ10:JA24 IZ65546:JA65560 IZ131082:JA131096 IZ196618:JA196632 IZ262154:JA262168 IZ327690:JA327704 IZ393226:JA393240 IZ458762:JA458776 IZ524298:JA524312 IZ589834:JA589848 IZ655370:JA655384 IZ720906:JA720920 IZ786442:JA786456 IZ851978:JA851992 IZ917514:JA917528 IZ983050:JA983064 SV10:SW24 SV65546:SW65560 SV131082:SW131096 SV196618:SW196632 SV262154:SW262168 SV327690:SW327704 SV393226:SW393240 SV458762:SW458776 SV524298:SW524312 SV589834:SW589848 SV655370:SW655384 SV720906:SW720920 SV786442:SW786456 SV851978:SW851992 SV917514:SW917528 SV983050:SW983064 ACR10:ACS24 ACR65546:ACS65560 ACR131082:ACS131096 ACR196618:ACS196632 ACR262154:ACS262168 ACR327690:ACS327704 ACR393226:ACS393240 ACR458762:ACS458776 ACR524298:ACS524312 ACR589834:ACS589848 ACR655370:ACS655384 ACR720906:ACS720920 ACR786442:ACS786456 ACR851978:ACS851992 ACR917514:ACS917528 ACR983050:ACS983064 AMN10:AMO24 AMN65546:AMO65560 AMN131082:AMO131096 AMN196618:AMO196632 AMN262154:AMO262168 AMN327690:AMO327704 AMN393226:AMO393240 AMN458762:AMO458776 AMN524298:AMO524312 AMN589834:AMO589848 AMN655370:AMO655384 AMN720906:AMO720920 AMN786442:AMO786456 AMN851978:AMO851992 AMN917514:AMO917528 AMN983050:AMO983064 AWJ10:AWK24 AWJ65546:AWK65560 AWJ131082:AWK131096 AWJ196618:AWK196632 AWJ262154:AWK262168 AWJ327690:AWK327704 AWJ393226:AWK393240 AWJ458762:AWK458776 AWJ524298:AWK524312 AWJ589834:AWK589848 AWJ655370:AWK655384 AWJ720906:AWK720920 AWJ786442:AWK786456 AWJ851978:AWK851992 AWJ917514:AWK917528 AWJ983050:AWK983064 BGF10:BGG24 BGF65546:BGG65560 BGF131082:BGG131096 BGF196618:BGG196632 BGF262154:BGG262168 BGF327690:BGG327704 BGF393226:BGG393240 BGF458762:BGG458776 BGF524298:BGG524312 BGF589834:BGG589848 BGF655370:BGG655384 BGF720906:BGG720920 BGF786442:BGG786456 BGF851978:BGG851992 BGF917514:BGG917528 BGF983050:BGG983064 BQB10:BQC24 BQB65546:BQC65560 BQB131082:BQC131096 BQB196618:BQC196632 BQB262154:BQC262168 BQB327690:BQC327704 BQB393226:BQC393240 BQB458762:BQC458776 BQB524298:BQC524312 BQB589834:BQC589848 BQB655370:BQC655384 BQB720906:BQC720920 BQB786442:BQC786456 BQB851978:BQC851992 BQB917514:BQC917528 BQB983050:BQC983064 BZX10:BZY24 BZX65546:BZY65560 BZX131082:BZY131096 BZX196618:BZY196632 BZX262154:BZY262168 BZX327690:BZY327704 BZX393226:BZY393240 BZX458762:BZY458776 BZX524298:BZY524312 BZX589834:BZY589848 BZX655370:BZY655384 BZX720906:BZY720920 BZX786442:BZY786456 BZX851978:BZY851992 BZX917514:BZY917528 BZX983050:BZY983064 CJT10:CJU24 CJT65546:CJU65560 CJT131082:CJU131096 CJT196618:CJU196632 CJT262154:CJU262168 CJT327690:CJU327704 CJT393226:CJU393240 CJT458762:CJU458776 CJT524298:CJU524312 CJT589834:CJU589848 CJT655370:CJU655384 CJT720906:CJU720920 CJT786442:CJU786456 CJT851978:CJU851992 CJT917514:CJU917528 CJT983050:CJU983064 CTP10:CTQ24 CTP65546:CTQ65560 CTP131082:CTQ131096 CTP196618:CTQ196632 CTP262154:CTQ262168 CTP327690:CTQ327704 CTP393226:CTQ393240 CTP458762:CTQ458776 CTP524298:CTQ524312 CTP589834:CTQ589848 CTP655370:CTQ655384 CTP720906:CTQ720920 CTP786442:CTQ786456 CTP851978:CTQ851992 CTP917514:CTQ917528 CTP983050:CTQ983064 DDL10:DDM24 DDL65546:DDM65560 DDL131082:DDM131096 DDL196618:DDM196632 DDL262154:DDM262168 DDL327690:DDM327704 DDL393226:DDM393240 DDL458762:DDM458776 DDL524298:DDM524312 DDL589834:DDM589848 DDL655370:DDM655384 DDL720906:DDM720920 DDL786442:DDM786456 DDL851978:DDM851992 DDL917514:DDM917528 DDL983050:DDM983064 DNH10:DNI24 DNH65546:DNI65560 DNH131082:DNI131096 DNH196618:DNI196632 DNH262154:DNI262168 DNH327690:DNI327704 DNH393226:DNI393240 DNH458762:DNI458776 DNH524298:DNI524312 DNH589834:DNI589848 DNH655370:DNI655384 DNH720906:DNI720920 DNH786442:DNI786456 DNH851978:DNI851992 DNH917514:DNI917528 DNH983050:DNI983064 DXD10:DXE24 DXD65546:DXE65560 DXD131082:DXE131096 DXD196618:DXE196632 DXD262154:DXE262168 DXD327690:DXE327704 DXD393226:DXE393240 DXD458762:DXE458776 DXD524298:DXE524312 DXD589834:DXE589848 DXD655370:DXE655384 DXD720906:DXE720920 DXD786442:DXE786456 DXD851978:DXE851992 DXD917514:DXE917528 DXD983050:DXE983064 EGZ10:EHA24 EGZ65546:EHA65560 EGZ131082:EHA131096 EGZ196618:EHA196632 EGZ262154:EHA262168 EGZ327690:EHA327704 EGZ393226:EHA393240 EGZ458762:EHA458776 EGZ524298:EHA524312 EGZ589834:EHA589848 EGZ655370:EHA655384 EGZ720906:EHA720920 EGZ786442:EHA786456 EGZ851978:EHA851992 EGZ917514:EHA917528 EGZ983050:EHA983064 EQV10:EQW24 EQV65546:EQW65560 EQV131082:EQW131096 EQV196618:EQW196632 EQV262154:EQW262168 EQV327690:EQW327704 EQV393226:EQW393240 EQV458762:EQW458776 EQV524298:EQW524312 EQV589834:EQW589848 EQV655370:EQW655384 EQV720906:EQW720920 EQV786442:EQW786456 EQV851978:EQW851992 EQV917514:EQW917528 EQV983050:EQW983064 FAR10:FAS24 FAR65546:FAS65560 FAR131082:FAS131096 FAR196618:FAS196632 FAR262154:FAS262168 FAR327690:FAS327704 FAR393226:FAS393240 FAR458762:FAS458776 FAR524298:FAS524312 FAR589834:FAS589848 FAR655370:FAS655384 FAR720906:FAS720920 FAR786442:FAS786456 FAR851978:FAS851992 FAR917514:FAS917528 FAR983050:FAS983064 FKN10:FKO24 FKN65546:FKO65560 FKN131082:FKO131096 FKN196618:FKO196632 FKN262154:FKO262168 FKN327690:FKO327704 FKN393226:FKO393240 FKN458762:FKO458776 FKN524298:FKO524312 FKN589834:FKO589848 FKN655370:FKO655384 FKN720906:FKO720920 FKN786442:FKO786456 FKN851978:FKO851992 FKN917514:FKO917528 FKN983050:FKO983064 FUJ10:FUK24 FUJ65546:FUK65560 FUJ131082:FUK131096 FUJ196618:FUK196632 FUJ262154:FUK262168 FUJ327690:FUK327704 FUJ393226:FUK393240 FUJ458762:FUK458776 FUJ524298:FUK524312 FUJ589834:FUK589848 FUJ655370:FUK655384 FUJ720906:FUK720920 FUJ786442:FUK786456 FUJ851978:FUK851992 FUJ917514:FUK917528 FUJ983050:FUK983064 GEF10:GEG24 GEF65546:GEG65560 GEF131082:GEG131096 GEF196618:GEG196632 GEF262154:GEG262168 GEF327690:GEG327704 GEF393226:GEG393240 GEF458762:GEG458776 GEF524298:GEG524312 GEF589834:GEG589848 GEF655370:GEG655384 GEF720906:GEG720920 GEF786442:GEG786456 GEF851978:GEG851992 GEF917514:GEG917528 GEF983050:GEG983064 GOB10:GOC24 GOB65546:GOC65560 GOB131082:GOC131096 GOB196618:GOC196632 GOB262154:GOC262168 GOB327690:GOC327704 GOB393226:GOC393240 GOB458762:GOC458776 GOB524298:GOC524312 GOB589834:GOC589848 GOB655370:GOC655384 GOB720906:GOC720920 GOB786442:GOC786456 GOB851978:GOC851992 GOB917514:GOC917528 GOB983050:GOC983064 GXX10:GXY24 GXX65546:GXY65560 GXX131082:GXY131096 GXX196618:GXY196632 GXX262154:GXY262168 GXX327690:GXY327704 GXX393226:GXY393240 GXX458762:GXY458776 GXX524298:GXY524312 GXX589834:GXY589848 GXX655370:GXY655384 GXX720906:GXY720920 GXX786442:GXY786456 GXX851978:GXY851992 GXX917514:GXY917528 GXX983050:GXY983064 HHT10:HHU24 HHT65546:HHU65560 HHT131082:HHU131096 HHT196618:HHU196632 HHT262154:HHU262168 HHT327690:HHU327704 HHT393226:HHU393240 HHT458762:HHU458776 HHT524298:HHU524312 HHT589834:HHU589848 HHT655370:HHU655384 HHT720906:HHU720920 HHT786442:HHU786456 HHT851978:HHU851992 HHT917514:HHU917528 HHT983050:HHU983064 HRP10:HRQ24 HRP65546:HRQ65560 HRP131082:HRQ131096 HRP196618:HRQ196632 HRP262154:HRQ262168 HRP327690:HRQ327704 HRP393226:HRQ393240 HRP458762:HRQ458776 HRP524298:HRQ524312 HRP589834:HRQ589848 HRP655370:HRQ655384 HRP720906:HRQ720920 HRP786442:HRQ786456 HRP851978:HRQ851992 HRP917514:HRQ917528 HRP983050:HRQ983064 IBL10:IBM24 IBL65546:IBM65560 IBL131082:IBM131096 IBL196618:IBM196632 IBL262154:IBM262168 IBL327690:IBM327704 IBL393226:IBM393240 IBL458762:IBM458776 IBL524298:IBM524312 IBL589834:IBM589848 IBL655370:IBM655384 IBL720906:IBM720920 IBL786442:IBM786456 IBL851978:IBM851992 IBL917514:IBM917528 IBL983050:IBM983064 ILH10:ILI24 ILH65546:ILI65560 ILH131082:ILI131096 ILH196618:ILI196632 ILH262154:ILI262168 ILH327690:ILI327704 ILH393226:ILI393240 ILH458762:ILI458776 ILH524298:ILI524312 ILH589834:ILI589848 ILH655370:ILI655384 ILH720906:ILI720920 ILH786442:ILI786456 ILH851978:ILI851992 ILH917514:ILI917528 ILH983050:ILI983064 IVD10:IVE24 IVD65546:IVE65560 IVD131082:IVE131096 IVD196618:IVE196632 IVD262154:IVE262168 IVD327690:IVE327704 IVD393226:IVE393240 IVD458762:IVE458776 IVD524298:IVE524312 IVD589834:IVE589848 IVD655370:IVE655384 IVD720906:IVE720920 IVD786442:IVE786456 IVD851978:IVE851992 IVD917514:IVE917528 IVD983050:IVE983064 JEZ10:JFA24 JEZ65546:JFA65560 JEZ131082:JFA131096 JEZ196618:JFA196632 JEZ262154:JFA262168 JEZ327690:JFA327704 JEZ393226:JFA393240 JEZ458762:JFA458776 JEZ524298:JFA524312 JEZ589834:JFA589848 JEZ655370:JFA655384 JEZ720906:JFA720920 JEZ786442:JFA786456 JEZ851978:JFA851992 JEZ917514:JFA917528 JEZ983050:JFA983064 JOV10:JOW24 JOV65546:JOW65560 JOV131082:JOW131096 JOV196618:JOW196632 JOV262154:JOW262168 JOV327690:JOW327704 JOV393226:JOW393240 JOV458762:JOW458776 JOV524298:JOW524312 JOV589834:JOW589848 JOV655370:JOW655384 JOV720906:JOW720920 JOV786442:JOW786456 JOV851978:JOW851992 JOV917514:JOW917528 JOV983050:JOW983064 JYR10:JYS24 JYR65546:JYS65560 JYR131082:JYS131096 JYR196618:JYS196632 JYR262154:JYS262168 JYR327690:JYS327704 JYR393226:JYS393240 JYR458762:JYS458776 JYR524298:JYS524312 JYR589834:JYS589848 JYR655370:JYS655384 JYR720906:JYS720920 JYR786442:JYS786456 JYR851978:JYS851992 JYR917514:JYS917528 JYR983050:JYS983064 KIN10:KIO24 KIN65546:KIO65560 KIN131082:KIO131096 KIN196618:KIO196632 KIN262154:KIO262168 KIN327690:KIO327704 KIN393226:KIO393240 KIN458762:KIO458776 KIN524298:KIO524312 KIN589834:KIO589848 KIN655370:KIO655384 KIN720906:KIO720920 KIN786442:KIO786456 KIN851978:KIO851992 KIN917514:KIO917528 KIN983050:KIO983064 KSJ10:KSK24 KSJ65546:KSK65560 KSJ131082:KSK131096 KSJ196618:KSK196632 KSJ262154:KSK262168 KSJ327690:KSK327704 KSJ393226:KSK393240 KSJ458762:KSK458776 KSJ524298:KSK524312 KSJ589834:KSK589848 KSJ655370:KSK655384 KSJ720906:KSK720920 KSJ786442:KSK786456 KSJ851978:KSK851992 KSJ917514:KSK917528 KSJ983050:KSK983064 LCF10:LCG24 LCF65546:LCG65560 LCF131082:LCG131096 LCF196618:LCG196632 LCF262154:LCG262168 LCF327690:LCG327704 LCF393226:LCG393240 LCF458762:LCG458776 LCF524298:LCG524312 LCF589834:LCG589848 LCF655370:LCG655384 LCF720906:LCG720920 LCF786442:LCG786456 LCF851978:LCG851992 LCF917514:LCG917528 LCF983050:LCG983064 LMB10:LMC24 LMB65546:LMC65560 LMB131082:LMC131096 LMB196618:LMC196632 LMB262154:LMC262168 LMB327690:LMC327704 LMB393226:LMC393240 LMB458762:LMC458776 LMB524298:LMC524312 LMB589834:LMC589848 LMB655370:LMC655384 LMB720906:LMC720920 LMB786442:LMC786456 LMB851978:LMC851992 LMB917514:LMC917528 LMB983050:LMC983064 LVX10:LVY24 LVX65546:LVY65560 LVX131082:LVY131096 LVX196618:LVY196632 LVX262154:LVY262168 LVX327690:LVY327704 LVX393226:LVY393240 LVX458762:LVY458776 LVX524298:LVY524312 LVX589834:LVY589848 LVX655370:LVY655384 LVX720906:LVY720920 LVX786442:LVY786456 LVX851978:LVY851992 LVX917514:LVY917528 LVX983050:LVY983064 MFT10:MFU24 MFT65546:MFU65560 MFT131082:MFU131096 MFT196618:MFU196632 MFT262154:MFU262168 MFT327690:MFU327704 MFT393226:MFU393240 MFT458762:MFU458776 MFT524298:MFU524312 MFT589834:MFU589848 MFT655370:MFU655384 MFT720906:MFU720920 MFT786442:MFU786456 MFT851978:MFU851992 MFT917514:MFU917528 MFT983050:MFU983064 MPP10:MPQ24 MPP65546:MPQ65560 MPP131082:MPQ131096 MPP196618:MPQ196632 MPP262154:MPQ262168 MPP327690:MPQ327704 MPP393226:MPQ393240 MPP458762:MPQ458776 MPP524298:MPQ524312 MPP589834:MPQ589848 MPP655370:MPQ655384 MPP720906:MPQ720920 MPP786442:MPQ786456 MPP851978:MPQ851992 MPP917514:MPQ917528 MPP983050:MPQ983064 MZL10:MZM24 MZL65546:MZM65560 MZL131082:MZM131096 MZL196618:MZM196632 MZL262154:MZM262168 MZL327690:MZM327704 MZL393226:MZM393240 MZL458762:MZM458776 MZL524298:MZM524312 MZL589834:MZM589848 MZL655370:MZM655384 MZL720906:MZM720920 MZL786442:MZM786456 MZL851978:MZM851992 MZL917514:MZM917528 MZL983050:MZM983064 NJH10:NJI24 NJH65546:NJI65560 NJH131082:NJI131096 NJH196618:NJI196632 NJH262154:NJI262168 NJH327690:NJI327704 NJH393226:NJI393240 NJH458762:NJI458776 NJH524298:NJI524312 NJH589834:NJI589848 NJH655370:NJI655384 NJH720906:NJI720920 NJH786442:NJI786456 NJH851978:NJI851992 NJH917514:NJI917528 NJH983050:NJI983064 NTD10:NTE24 NTD65546:NTE65560 NTD131082:NTE131096 NTD196618:NTE196632 NTD262154:NTE262168 NTD327690:NTE327704 NTD393226:NTE393240 NTD458762:NTE458776 NTD524298:NTE524312 NTD589834:NTE589848 NTD655370:NTE655384 NTD720906:NTE720920 NTD786442:NTE786456 NTD851978:NTE851992 NTD917514:NTE917528 NTD983050:NTE983064 OCZ10:ODA24 OCZ65546:ODA65560 OCZ131082:ODA131096 OCZ196618:ODA196632 OCZ262154:ODA262168 OCZ327690:ODA327704 OCZ393226:ODA393240 OCZ458762:ODA458776 OCZ524298:ODA524312 OCZ589834:ODA589848 OCZ655370:ODA655384 OCZ720906:ODA720920 OCZ786442:ODA786456 OCZ851978:ODA851992 OCZ917514:ODA917528 OCZ983050:ODA983064 OMV10:OMW24 OMV65546:OMW65560 OMV131082:OMW131096 OMV196618:OMW196632 OMV262154:OMW262168 OMV327690:OMW327704 OMV393226:OMW393240 OMV458762:OMW458776 OMV524298:OMW524312 OMV589834:OMW589848 OMV655370:OMW655384 OMV720906:OMW720920 OMV786442:OMW786456 OMV851978:OMW851992 OMV917514:OMW917528 OMV983050:OMW983064 OWR10:OWS24 OWR65546:OWS65560 OWR131082:OWS131096 OWR196618:OWS196632 OWR262154:OWS262168 OWR327690:OWS327704 OWR393226:OWS393240 OWR458762:OWS458776 OWR524298:OWS524312 OWR589834:OWS589848 OWR655370:OWS655384 OWR720906:OWS720920 OWR786442:OWS786456 OWR851978:OWS851992 OWR917514:OWS917528 OWR983050:OWS983064 PGN10:PGO24 PGN65546:PGO65560 PGN131082:PGO131096 PGN196618:PGO196632 PGN262154:PGO262168 PGN327690:PGO327704 PGN393226:PGO393240 PGN458762:PGO458776 PGN524298:PGO524312 PGN589834:PGO589848 PGN655370:PGO655384 PGN720906:PGO720920 PGN786442:PGO786456 PGN851978:PGO851992 PGN917514:PGO917528 PGN983050:PGO983064 PQJ10:PQK24 PQJ65546:PQK65560 PQJ131082:PQK131096 PQJ196618:PQK196632 PQJ262154:PQK262168 PQJ327690:PQK327704 PQJ393226:PQK393240 PQJ458762:PQK458776 PQJ524298:PQK524312 PQJ589834:PQK589848 PQJ655370:PQK655384 PQJ720906:PQK720920 PQJ786442:PQK786456 PQJ851978:PQK851992 PQJ917514:PQK917528 PQJ983050:PQK983064 QAF10:QAG24 QAF65546:QAG65560 QAF131082:QAG131096 QAF196618:QAG196632 QAF262154:QAG262168 QAF327690:QAG327704 QAF393226:QAG393240 QAF458762:QAG458776 QAF524298:QAG524312 QAF589834:QAG589848 QAF655370:QAG655384 QAF720906:QAG720920 QAF786442:QAG786456 QAF851978:QAG851992 QAF917514:QAG917528 QAF983050:QAG983064 QKB10:QKC24 QKB65546:QKC65560 QKB131082:QKC131096 QKB196618:QKC196632 QKB262154:QKC262168 QKB327690:QKC327704 QKB393226:QKC393240 QKB458762:QKC458776 QKB524298:QKC524312 QKB589834:QKC589848 QKB655370:QKC655384 QKB720906:QKC720920 QKB786442:QKC786456 QKB851978:QKC851992 QKB917514:QKC917528 QKB983050:QKC983064 QTX10:QTY24 QTX65546:QTY65560 QTX131082:QTY131096 QTX196618:QTY196632 QTX262154:QTY262168 QTX327690:QTY327704 QTX393226:QTY393240 QTX458762:QTY458776 QTX524298:QTY524312 QTX589834:QTY589848 QTX655370:QTY655384 QTX720906:QTY720920 QTX786442:QTY786456 QTX851978:QTY851992 QTX917514:QTY917528 QTX983050:QTY983064 RDT10:RDU24 RDT65546:RDU65560 RDT131082:RDU131096 RDT196618:RDU196632 RDT262154:RDU262168 RDT327690:RDU327704 RDT393226:RDU393240 RDT458762:RDU458776 RDT524298:RDU524312 RDT589834:RDU589848 RDT655370:RDU655384 RDT720906:RDU720920 RDT786442:RDU786456 RDT851978:RDU851992 RDT917514:RDU917528 RDT983050:RDU983064 RNP10:RNQ24 RNP65546:RNQ65560 RNP131082:RNQ131096 RNP196618:RNQ196632 RNP262154:RNQ262168 RNP327690:RNQ327704 RNP393226:RNQ393240 RNP458762:RNQ458776 RNP524298:RNQ524312 RNP589834:RNQ589848 RNP655370:RNQ655384 RNP720906:RNQ720920 RNP786442:RNQ786456 RNP851978:RNQ851992 RNP917514:RNQ917528 RNP983050:RNQ983064 RXL10:RXM24 RXL65546:RXM65560 RXL131082:RXM131096 RXL196618:RXM196632 RXL262154:RXM262168 RXL327690:RXM327704 RXL393226:RXM393240 RXL458762:RXM458776 RXL524298:RXM524312 RXL589834:RXM589848 RXL655370:RXM655384 RXL720906:RXM720920 RXL786442:RXM786456 RXL851978:RXM851992 RXL917514:RXM917528 RXL983050:RXM983064 SHH10:SHI24 SHH65546:SHI65560 SHH131082:SHI131096 SHH196618:SHI196632 SHH262154:SHI262168 SHH327690:SHI327704 SHH393226:SHI393240 SHH458762:SHI458776 SHH524298:SHI524312 SHH589834:SHI589848 SHH655370:SHI655384 SHH720906:SHI720920 SHH786442:SHI786456 SHH851978:SHI851992 SHH917514:SHI917528 SHH983050:SHI983064 SRD10:SRE24 SRD65546:SRE65560 SRD131082:SRE131096 SRD196618:SRE196632 SRD262154:SRE262168 SRD327690:SRE327704 SRD393226:SRE393240 SRD458762:SRE458776 SRD524298:SRE524312 SRD589834:SRE589848 SRD655370:SRE655384 SRD720906:SRE720920 SRD786442:SRE786456 SRD851978:SRE851992 SRD917514:SRE917528 SRD983050:SRE983064 TAZ10:TBA24 TAZ65546:TBA65560 TAZ131082:TBA131096 TAZ196618:TBA196632 TAZ262154:TBA262168 TAZ327690:TBA327704 TAZ393226:TBA393240 TAZ458762:TBA458776 TAZ524298:TBA524312 TAZ589834:TBA589848 TAZ655370:TBA655384 TAZ720906:TBA720920 TAZ786442:TBA786456 TAZ851978:TBA851992 TAZ917514:TBA917528 TAZ983050:TBA983064 TKV10:TKW24 TKV65546:TKW65560 TKV131082:TKW131096 TKV196618:TKW196632 TKV262154:TKW262168 TKV327690:TKW327704 TKV393226:TKW393240 TKV458762:TKW458776 TKV524298:TKW524312 TKV589834:TKW589848 TKV655370:TKW655384 TKV720906:TKW720920 TKV786442:TKW786456 TKV851978:TKW851992 TKV917514:TKW917528 TKV983050:TKW983064 TUR10:TUS24 TUR65546:TUS65560 TUR131082:TUS131096 TUR196618:TUS196632 TUR262154:TUS262168 TUR327690:TUS327704 TUR393226:TUS393240 TUR458762:TUS458776 TUR524298:TUS524312 TUR589834:TUS589848 TUR655370:TUS655384 TUR720906:TUS720920 TUR786442:TUS786456 TUR851978:TUS851992 TUR917514:TUS917528 TUR983050:TUS983064 UEN10:UEO24 UEN65546:UEO65560 UEN131082:UEO131096 UEN196618:UEO196632 UEN262154:UEO262168 UEN327690:UEO327704 UEN393226:UEO393240 UEN458762:UEO458776 UEN524298:UEO524312 UEN589834:UEO589848 UEN655370:UEO655384 UEN720906:UEO720920 UEN786442:UEO786456 UEN851978:UEO851992 UEN917514:UEO917528 UEN983050:UEO983064 UOJ10:UOK24 UOJ65546:UOK65560 UOJ131082:UOK131096 UOJ196618:UOK196632 UOJ262154:UOK262168 UOJ327690:UOK327704 UOJ393226:UOK393240 UOJ458762:UOK458776 UOJ524298:UOK524312 UOJ589834:UOK589848 UOJ655370:UOK655384 UOJ720906:UOK720920 UOJ786442:UOK786456 UOJ851978:UOK851992 UOJ917514:UOK917528 UOJ983050:UOK983064 UYF10:UYG24 UYF65546:UYG65560 UYF131082:UYG131096 UYF196618:UYG196632 UYF262154:UYG262168 UYF327690:UYG327704 UYF393226:UYG393240 UYF458762:UYG458776 UYF524298:UYG524312 UYF589834:UYG589848 UYF655370:UYG655384 UYF720906:UYG720920 UYF786442:UYG786456 UYF851978:UYG851992 UYF917514:UYG917528 UYF983050:UYG983064 VIB10:VIC24 VIB65546:VIC65560 VIB131082:VIC131096 VIB196618:VIC196632 VIB262154:VIC262168 VIB327690:VIC327704 VIB393226:VIC393240 VIB458762:VIC458776 VIB524298:VIC524312 VIB589834:VIC589848 VIB655370:VIC655384 VIB720906:VIC720920 VIB786442:VIC786456 VIB851978:VIC851992 VIB917514:VIC917528 VIB983050:VIC983064 VRX10:VRY24 VRX65546:VRY65560 VRX131082:VRY131096 VRX196618:VRY196632 VRX262154:VRY262168 VRX327690:VRY327704 VRX393226:VRY393240 VRX458762:VRY458776 VRX524298:VRY524312 VRX589834:VRY589848 VRX655370:VRY655384 VRX720906:VRY720920 VRX786442:VRY786456 VRX851978:VRY851992 VRX917514:VRY917528 VRX983050:VRY983064 WBT10:WBU24 WBT65546:WBU65560 WBT131082:WBU131096 WBT196618:WBU196632 WBT262154:WBU262168 WBT327690:WBU327704 WBT393226:WBU393240 WBT458762:WBU458776 WBT524298:WBU524312 WBT589834:WBU589848 WBT655370:WBU655384 WBT720906:WBU720920 WBT786442:WBU786456 WBT851978:WBU851992 WBT917514:WBU917528 WBT983050:WBU983064 WLP10:WLQ24 WLP65546:WLQ65560 WLP131082:WLQ131096 WLP196618:WLQ196632 WLP262154:WLQ262168 WLP327690:WLQ327704 WLP393226:WLQ393240 WLP458762:WLQ458776 WLP524298:WLQ524312 WLP589834:WLQ589848 WLP655370:WLQ655384 WLP720906:WLQ720920 WLP786442:WLQ786456 WLP851978:WLQ851992 WLP917514:WLQ917528 WLP983050:WLQ983064 WVL10:WVM24 WVL65546:WVM65560 WVL131082:WVM131096 WVL196618:WVM196632 WVL262154:WVM262168 WVL327690:WVM327704 WVL393226:WVM393240 WVL458762:WVM458776 WVL524298:WVM524312 WVL589834:WVM589848 WVL655370:WVM655384 WVL720906:WVM720920 WVL786442:WVM786456 WVL851978:WVM851992 WVL917514:WVM917528 WVL983050:WVM983064" showDropDown="0" showInputMessage="1" showErrorMessage="1" allowBlank="1" type="list">
      <formula1>ListCol1</formula1>
    </dataValidation>
  </dataValidations>
  <printOptions horizontalCentered="1"/>
  <pageMargins left="0.25" right="0.25" top="0.5" bottom="0.5" header="0.3" footer="0.3"/>
  <pageSetup orientation="portrait" paperSize="1" fitToHeight="1" fitToWidth="1" blackAndWhite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Nate Nemire</dc:creator>
  <dcterms:created xmlns:dcterms="http://purl.org/dc/terms/" xmlns:xsi="http://www.w3.org/2001/XMLSchema-instance" xsi:type="dcterms:W3CDTF">2024-05-24T22:40:15Z</dcterms:created>
  <dcterms:modified xmlns:dcterms="http://purl.org/dc/terms/" xmlns:xsi="http://www.w3.org/2001/XMLSchema-instance" xsi:type="dcterms:W3CDTF">2026-06-11T18:52:05Z</dcterms:modified>
  <cp:lastModifiedBy>Doug Friedel</cp:lastModifiedBy>
  <cp:lastPrinted>2026-05-19T12:03:21Z</cp:lastPrint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0x010100761C31A58DA2FA4299C80507EFB9ABD6</vt:lpwstr>
  </property>
</Properties>
</file>